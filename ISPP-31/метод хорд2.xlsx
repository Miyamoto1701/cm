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3395" windowHeight="12330" activeTab="2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J10" i="3"/>
  <c r="J11"/>
  <c r="C13"/>
  <c r="J6"/>
  <c r="J7"/>
  <c r="J8"/>
  <c r="J9"/>
  <c r="J5"/>
  <c r="D14"/>
  <c r="D13"/>
  <c r="D9"/>
  <c r="D8"/>
  <c r="C8"/>
  <c r="C9"/>
  <c r="D32" i="2"/>
  <c r="D31"/>
  <c r="C31"/>
  <c r="D17" i="1"/>
  <c r="E27" i="2"/>
  <c r="C27"/>
  <c r="C26"/>
  <c r="E26" s="1"/>
  <c r="C13"/>
  <c r="D27"/>
  <c r="D26"/>
  <c r="F13"/>
  <c r="F14"/>
  <c r="F15"/>
  <c r="F16"/>
  <c r="E15"/>
  <c r="E16"/>
  <c r="D15"/>
  <c r="C15"/>
  <c r="D13"/>
  <c r="D9"/>
  <c r="D8"/>
  <c r="C9"/>
  <c r="E9" s="1"/>
  <c r="C8"/>
  <c r="E8" s="1"/>
  <c r="F16" i="1"/>
  <c r="F17"/>
  <c r="F18"/>
  <c r="F15"/>
  <c r="A17"/>
  <c r="B17" s="1"/>
  <c r="C17"/>
  <c r="C16"/>
  <c r="B16" s="1"/>
  <c r="E16" s="1"/>
  <c r="D16"/>
  <c r="B15"/>
  <c r="D15"/>
  <c r="C15"/>
  <c r="D11"/>
  <c r="D10"/>
  <c r="C11"/>
  <c r="C10"/>
  <c r="B13" i="3" l="1"/>
  <c r="A14" s="1"/>
  <c r="E9"/>
  <c r="E8"/>
  <c r="B31" i="2"/>
  <c r="A32" s="1"/>
  <c r="C32" s="1"/>
  <c r="B15"/>
  <c r="A16" s="1"/>
  <c r="B13"/>
  <c r="E17" i="1"/>
  <c r="A18"/>
  <c r="C14" i="3" l="1"/>
  <c r="B14"/>
  <c r="E13"/>
  <c r="F13" s="1"/>
  <c r="E31" i="2"/>
  <c r="F31" s="1"/>
  <c r="B32"/>
  <c r="D16"/>
  <c r="B16" s="1"/>
  <c r="C16"/>
  <c r="A14"/>
  <c r="E13"/>
  <c r="D18" i="1"/>
  <c r="B18" s="1"/>
  <c r="E18" s="1"/>
  <c r="C18"/>
  <c r="E15"/>
  <c r="A16"/>
  <c r="A15" i="3" l="1"/>
  <c r="D15" s="1"/>
  <c r="E14"/>
  <c r="F14" s="1"/>
  <c r="A33" i="2"/>
  <c r="E32"/>
  <c r="F32" s="1"/>
  <c r="C14"/>
  <c r="B14" s="1"/>
  <c r="D14"/>
  <c r="B15" i="3" l="1"/>
  <c r="C15"/>
  <c r="C33" i="2"/>
  <c r="B33" s="1"/>
  <c r="E33" s="1"/>
  <c r="F33" s="1"/>
  <c r="D33"/>
  <c r="E14"/>
  <c r="A15"/>
  <c r="A16" i="3" l="1"/>
  <c r="D16" s="1"/>
  <c r="E15"/>
  <c r="F15" s="1"/>
  <c r="B16" l="1"/>
  <c r="C16"/>
  <c r="E16" l="1"/>
  <c r="F16" s="1"/>
  <c r="A17"/>
  <c r="C17" l="1"/>
  <c r="D17"/>
  <c r="B17"/>
  <c r="E17" l="1"/>
  <c r="F17" s="1"/>
</calcChain>
</file>

<file path=xl/sharedStrings.xml><?xml version="1.0" encoding="utf-8"?>
<sst xmlns="http://schemas.openxmlformats.org/spreadsheetml/2006/main" count="84" uniqueCount="34">
  <si>
    <t>f(x)=x^3+x-1</t>
  </si>
  <si>
    <t>Граница</t>
  </si>
  <si>
    <t>Значение</t>
  </si>
  <si>
    <t>f(x)</t>
  </si>
  <si>
    <t>f2(x)</t>
  </si>
  <si>
    <t>Условие</t>
  </si>
  <si>
    <t>Действия по методу</t>
  </si>
  <si>
    <t>xn+1</t>
  </si>
  <si>
    <t>f'(xn)</t>
  </si>
  <si>
    <t>R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</si>
  <si>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n</t>
    </r>
  </si>
  <si>
    <t>Корень</t>
  </si>
  <si>
    <t>Число итераций</t>
  </si>
  <si>
    <t>Проверка на сходимость</t>
  </si>
  <si>
    <t>b</t>
  </si>
  <si>
    <t>a</t>
  </si>
  <si>
    <r>
      <t>f(x</t>
    </r>
    <r>
      <rPr>
        <vertAlign val="subscript"/>
        <sz val="11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charset val="204"/>
        <scheme val="minor"/>
      </rPr>
      <t>)</t>
    </r>
  </si>
  <si>
    <t>е=</t>
  </si>
  <si>
    <t>Точность</t>
  </si>
  <si>
    <t>f(x)=x^3-12x-10</t>
  </si>
  <si>
    <t>f1(x)=3x^2+1</t>
  </si>
  <si>
    <t>f2(x)=6x</t>
  </si>
  <si>
    <t>Итерации</t>
  </si>
  <si>
    <t>Xn</t>
  </si>
  <si>
    <t>Xn+1</t>
  </si>
  <si>
    <t>f(Xn)</t>
  </si>
  <si>
    <t>f'(Xn)</t>
  </si>
  <si>
    <t>точность</t>
  </si>
  <si>
    <t>f(x)=x^3-12x+10</t>
  </si>
  <si>
    <t>f1(x)=3x^2-12</t>
  </si>
  <si>
    <t>f(x)=3x-e^x</t>
  </si>
  <si>
    <t>f1(x)=3-e^x</t>
  </si>
  <si>
    <t>f2(x)=-e^x</t>
  </si>
  <si>
    <t>x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</si>
</sst>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164" fontId="0" fillId="0" borderId="0" xfId="0" applyNumberFormat="1"/>
    <xf numFmtId="0" fontId="0" fillId="0" borderId="0" xfId="0" applyAlignment="1">
      <alignment horizontal="right"/>
    </xf>
    <xf numFmtId="0" fontId="0" fillId="3" borderId="0" xfId="0" applyFill="1"/>
    <xf numFmtId="0" fontId="0" fillId="2" borderId="0" xfId="0" applyFill="1"/>
    <xf numFmtId="0" fontId="0" fillId="2" borderId="0" xfId="0" applyFill="1" applyAlignment="1"/>
    <xf numFmtId="0" fontId="0" fillId="0" borderId="0" xfId="0" applyAlignment="1">
      <alignment horizontal="left"/>
    </xf>
    <xf numFmtId="0" fontId="0" fillId="0" borderId="0" xfId="0" applyFill="1"/>
    <xf numFmtId="164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/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2" fontId="0" fillId="0" borderId="1" xfId="0" applyNumberForma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9"/>
  <sheetViews>
    <sheetView workbookViewId="0">
      <selection activeCell="F10" sqref="F10"/>
    </sheetView>
  </sheetViews>
  <sheetFormatPr defaultRowHeight="15"/>
  <cols>
    <col min="6" max="6" width="14.28515625" bestFit="1" customWidth="1"/>
    <col min="7" max="7" width="9" customWidth="1"/>
  </cols>
  <sheetData>
    <row r="2" spans="1:7">
      <c r="A2" t="s">
        <v>19</v>
      </c>
    </row>
    <row r="6" spans="1:7">
      <c r="A6" t="s">
        <v>18</v>
      </c>
      <c r="B6" s="9" t="s">
        <v>17</v>
      </c>
      <c r="C6" s="10">
        <v>1E-3</v>
      </c>
    </row>
    <row r="8" spans="1:7">
      <c r="A8" t="s">
        <v>13</v>
      </c>
      <c r="B8" s="8"/>
      <c r="C8" s="8"/>
    </row>
    <row r="9" spans="1:7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</row>
    <row r="10" spans="1:7">
      <c r="A10" s="1" t="s">
        <v>15</v>
      </c>
      <c r="B10" s="1">
        <v>0</v>
      </c>
      <c r="C10" s="1">
        <f>B10^3+B10-1</f>
        <v>-1</v>
      </c>
      <c r="D10" s="1">
        <f>6*B10</f>
        <v>0</v>
      </c>
      <c r="E10" s="1"/>
    </row>
    <row r="11" spans="1:7">
      <c r="A11" s="1" t="s">
        <v>14</v>
      </c>
      <c r="B11" s="1">
        <v>1</v>
      </c>
      <c r="C11" s="1">
        <f>B11^3+B11-1</f>
        <v>1</v>
      </c>
      <c r="D11" s="1">
        <f>6*B11</f>
        <v>6</v>
      </c>
      <c r="E11" s="1"/>
    </row>
    <row r="13" spans="1:7">
      <c r="A13" t="s">
        <v>6</v>
      </c>
    </row>
    <row r="14" spans="1:7" s="3" customFormat="1" ht="45">
      <c r="A14" s="6" t="s">
        <v>10</v>
      </c>
      <c r="B14" s="6" t="s">
        <v>7</v>
      </c>
      <c r="C14" s="6" t="s">
        <v>16</v>
      </c>
      <c r="D14" s="6" t="s">
        <v>8</v>
      </c>
      <c r="E14" s="6" t="s">
        <v>9</v>
      </c>
      <c r="F14" s="6" t="s">
        <v>11</v>
      </c>
      <c r="G14" s="7" t="s">
        <v>12</v>
      </c>
    </row>
    <row r="15" spans="1:7" s="3" customFormat="1">
      <c r="A15" s="5">
        <v>1</v>
      </c>
      <c r="B15" s="5">
        <f>A15-C15/D15</f>
        <v>0.75</v>
      </c>
      <c r="C15" s="5">
        <f>A15^3+A15-1</f>
        <v>1</v>
      </c>
      <c r="D15" s="5">
        <f>3*A15^2+1</f>
        <v>4</v>
      </c>
      <c r="E15" s="5">
        <f>ABS(A15-B15)</f>
        <v>0.25</v>
      </c>
      <c r="F15" s="2" t="str">
        <f>IF(E15&lt;$C$6,"корень="&amp;ROUND(B15,4),"---")</f>
        <v>---</v>
      </c>
      <c r="G15" s="2">
        <v>1</v>
      </c>
    </row>
    <row r="16" spans="1:7" s="3" customFormat="1">
      <c r="A16" s="5">
        <f>B15</f>
        <v>0.75</v>
      </c>
      <c r="B16" s="5">
        <f>A16-C16/D16</f>
        <v>0.68604651162790697</v>
      </c>
      <c r="C16" s="5">
        <f>A16^3+A16-1</f>
        <v>0.171875</v>
      </c>
      <c r="D16" s="5">
        <f>3*A16^2+1</f>
        <v>2.6875</v>
      </c>
      <c r="E16" s="5">
        <f>ABS(A16-B16)</f>
        <v>6.3953488372093026E-2</v>
      </c>
      <c r="F16" s="2" t="str">
        <f t="shared" ref="F16:F18" si="0">IF(E16&lt;$C$6,"корень="&amp;ROUND(B16,4),"---")</f>
        <v>---</v>
      </c>
      <c r="G16" s="2">
        <v>2</v>
      </c>
    </row>
    <row r="17" spans="1:7" s="3" customFormat="1">
      <c r="A17" s="5">
        <f t="shared" ref="A17:A18" si="1">B16</f>
        <v>0.68604651162790697</v>
      </c>
      <c r="B17" s="5">
        <f>A17-C17/D17</f>
        <v>0.6823395825973142</v>
      </c>
      <c r="C17" s="5">
        <f>A17^3+A17-1</f>
        <v>8.9410366382833839E-3</v>
      </c>
      <c r="D17" s="5">
        <f>3*A17^2+1</f>
        <v>2.4119794483504595</v>
      </c>
      <c r="E17" s="5">
        <f>ABS(A17-B17)</f>
        <v>3.706929030592776E-3</v>
      </c>
      <c r="F17" s="2" t="str">
        <f t="shared" si="0"/>
        <v>---</v>
      </c>
      <c r="G17" s="2">
        <v>3</v>
      </c>
    </row>
    <row r="18" spans="1:7" s="3" customFormat="1">
      <c r="A18" s="5">
        <f t="shared" si="1"/>
        <v>0.6823395825973142</v>
      </c>
      <c r="B18" s="5">
        <f>A18-C18/D18</f>
        <v>0.68232780394651271</v>
      </c>
      <c r="C18" s="5">
        <f>A18^3+A18-1</f>
        <v>2.8230621685665369E-5</v>
      </c>
      <c r="D18" s="5">
        <f>3*A18^2+1</f>
        <v>2.3967619179372308</v>
      </c>
      <c r="E18" s="5">
        <f>ABS(A18-B18)</f>
        <v>1.1778650801486101E-5</v>
      </c>
      <c r="F18" s="4" t="str">
        <f t="shared" si="0"/>
        <v>корень=0,6823</v>
      </c>
      <c r="G18" s="2">
        <v>4</v>
      </c>
    </row>
    <row r="19" spans="1:7" s="3" customFormat="1"/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G34"/>
  <sheetViews>
    <sheetView topLeftCell="A19" workbookViewId="0">
      <selection activeCell="K35" sqref="K35"/>
    </sheetView>
  </sheetViews>
  <sheetFormatPr defaultRowHeight="15"/>
  <cols>
    <col min="6" max="6" width="14.42578125" bestFit="1" customWidth="1"/>
    <col min="7" max="7" width="10.28515625" customWidth="1"/>
  </cols>
  <sheetData>
    <row r="2" spans="1:7">
      <c r="A2" t="s">
        <v>0</v>
      </c>
      <c r="D2" s="13" t="s">
        <v>27</v>
      </c>
      <c r="E2" s="12" t="s">
        <v>17</v>
      </c>
      <c r="F2" s="16">
        <v>1E-3</v>
      </c>
    </row>
    <row r="3" spans="1:7">
      <c r="A3" t="s">
        <v>20</v>
      </c>
    </row>
    <row r="4" spans="1:7">
      <c r="A4" t="s">
        <v>21</v>
      </c>
    </row>
    <row r="6" spans="1:7">
      <c r="A6" s="15" t="s">
        <v>13</v>
      </c>
      <c r="B6" s="15"/>
      <c r="C6" s="15"/>
    </row>
    <row r="7" spans="1:7">
      <c r="A7" s="20" t="s">
        <v>1</v>
      </c>
      <c r="B7" s="1" t="s">
        <v>2</v>
      </c>
      <c r="C7" s="1" t="s">
        <v>3</v>
      </c>
      <c r="D7" s="1" t="s">
        <v>4</v>
      </c>
      <c r="E7" s="1" t="s">
        <v>5</v>
      </c>
    </row>
    <row r="8" spans="1:7">
      <c r="A8" s="20" t="s">
        <v>15</v>
      </c>
      <c r="B8" s="1">
        <v>0</v>
      </c>
      <c r="C8" s="1">
        <f>B8^3+B8-1</f>
        <v>-1</v>
      </c>
      <c r="D8" s="1">
        <f>B8*6</f>
        <v>0</v>
      </c>
      <c r="E8" s="1" t="str">
        <f>IF(C8*D8&gt;0,"вып","нет")</f>
        <v>нет</v>
      </c>
    </row>
    <row r="9" spans="1:7">
      <c r="A9" s="20" t="s">
        <v>14</v>
      </c>
      <c r="B9" s="1">
        <v>1</v>
      </c>
      <c r="C9" s="1">
        <f>B9^3+B9-1</f>
        <v>1</v>
      </c>
      <c r="D9" s="1">
        <f>B9*6</f>
        <v>6</v>
      </c>
      <c r="E9" s="1" t="str">
        <f>IF(C9*D9&gt;0,"вып","нет")</f>
        <v>вып</v>
      </c>
    </row>
    <row r="11" spans="1:7">
      <c r="A11" s="14" t="s">
        <v>22</v>
      </c>
    </row>
    <row r="12" spans="1:7">
      <c r="A12" s="1" t="s">
        <v>23</v>
      </c>
      <c r="B12" s="1" t="s">
        <v>24</v>
      </c>
      <c r="C12" s="1" t="s">
        <v>25</v>
      </c>
      <c r="D12" s="1" t="s">
        <v>26</v>
      </c>
      <c r="E12" s="1" t="s">
        <v>9</v>
      </c>
      <c r="F12" s="1" t="s">
        <v>11</v>
      </c>
      <c r="G12" s="1" t="s">
        <v>12</v>
      </c>
    </row>
    <row r="13" spans="1:7">
      <c r="A13" s="18">
        <v>1</v>
      </c>
      <c r="B13" s="18">
        <f>A13-(C13/D13)</f>
        <v>0.75</v>
      </c>
      <c r="C13" s="18">
        <f>A13^3+A13-1</f>
        <v>1</v>
      </c>
      <c r="D13" s="18">
        <f>A13^2*3+1</f>
        <v>4</v>
      </c>
      <c r="E13" s="18">
        <f>ABS(B13-A13)</f>
        <v>0.25</v>
      </c>
      <c r="F13" s="1" t="str">
        <f t="shared" ref="F13:F15" si="0">IF(E13&lt;$F$2,"Корень="&amp;ROUND(B13,4),"---")</f>
        <v>---</v>
      </c>
      <c r="G13" s="1">
        <v>1</v>
      </c>
    </row>
    <row r="14" spans="1:7">
      <c r="A14" s="18">
        <f>B13</f>
        <v>0.75</v>
      </c>
      <c r="B14" s="18">
        <f>A14-(C14/D14)</f>
        <v>0.68604651162790697</v>
      </c>
      <c r="C14" s="18">
        <f>A14^3+A14-1</f>
        <v>0.171875</v>
      </c>
      <c r="D14" s="18">
        <f>A14^2*3+1</f>
        <v>2.6875</v>
      </c>
      <c r="E14" s="18">
        <f>ABS(B14-A14)</f>
        <v>6.3953488372093026E-2</v>
      </c>
      <c r="F14" s="1" t="str">
        <f t="shared" si="0"/>
        <v>---</v>
      </c>
      <c r="G14" s="1">
        <v>2</v>
      </c>
    </row>
    <row r="15" spans="1:7">
      <c r="A15" s="18">
        <f>B14</f>
        <v>0.68604651162790697</v>
      </c>
      <c r="B15" s="18">
        <f t="shared" ref="B15:B16" si="1">A15-(C15/D15)</f>
        <v>0.6823395825973142</v>
      </c>
      <c r="C15" s="18">
        <f>A15^3+A15-1</f>
        <v>8.9410366382833839E-3</v>
      </c>
      <c r="D15" s="18">
        <f t="shared" ref="D15:D16" si="2">A15^2*3+1</f>
        <v>2.4119794483504595</v>
      </c>
      <c r="E15" s="18">
        <f t="shared" ref="E15:E16" si="3">ABS(B15-A15)</f>
        <v>3.706929030592776E-3</v>
      </c>
      <c r="F15" s="1" t="str">
        <f t="shared" si="0"/>
        <v>---</v>
      </c>
      <c r="G15" s="1">
        <v>3</v>
      </c>
    </row>
    <row r="16" spans="1:7">
      <c r="A16" s="18">
        <f t="shared" ref="A16" si="4">B15</f>
        <v>0.6823395825973142</v>
      </c>
      <c r="B16" s="18">
        <f t="shared" si="1"/>
        <v>0.68232780394651271</v>
      </c>
      <c r="C16" s="18">
        <f>A16^3+A16-1</f>
        <v>2.8230621685665369E-5</v>
      </c>
      <c r="D16" s="18">
        <f t="shared" si="2"/>
        <v>2.3967619179372308</v>
      </c>
      <c r="E16" s="18">
        <f t="shared" si="3"/>
        <v>1.1778650801486101E-5</v>
      </c>
      <c r="F16" s="19" t="str">
        <f>IF(E16&lt;$F$2,"Корень="&amp;ROUND(B16,4),"---")</f>
        <v>Корень=0,6823</v>
      </c>
      <c r="G16" s="1">
        <v>4</v>
      </c>
    </row>
    <row r="20" spans="1:7">
      <c r="A20" t="s">
        <v>28</v>
      </c>
      <c r="D20" s="13" t="s">
        <v>27</v>
      </c>
      <c r="E20" s="12" t="s">
        <v>17</v>
      </c>
      <c r="F20" s="16">
        <v>1E-3</v>
      </c>
    </row>
    <row r="21" spans="1:7">
      <c r="A21" t="s">
        <v>29</v>
      </c>
    </row>
    <row r="22" spans="1:7">
      <c r="A22" t="s">
        <v>21</v>
      </c>
    </row>
    <row r="24" spans="1:7">
      <c r="A24" s="15" t="s">
        <v>13</v>
      </c>
      <c r="B24" s="15"/>
      <c r="C24" s="15"/>
    </row>
    <row r="25" spans="1:7">
      <c r="A25" s="20" t="s">
        <v>1</v>
      </c>
      <c r="B25" s="1" t="s">
        <v>2</v>
      </c>
      <c r="C25" s="1" t="s">
        <v>3</v>
      </c>
      <c r="D25" s="1" t="s">
        <v>4</v>
      </c>
      <c r="E25" s="1" t="s">
        <v>5</v>
      </c>
    </row>
    <row r="26" spans="1:7">
      <c r="A26" s="20" t="s">
        <v>15</v>
      </c>
      <c r="B26" s="1">
        <v>0</v>
      </c>
      <c r="C26" s="1">
        <f>B26^3-12*B26+10</f>
        <v>10</v>
      </c>
      <c r="D26" s="1">
        <f>B26*6</f>
        <v>0</v>
      </c>
      <c r="E26" s="1" t="str">
        <f>IF(C26*D26&gt;0,"вып","нет")</f>
        <v>нет</v>
      </c>
    </row>
    <row r="27" spans="1:7">
      <c r="A27" s="20" t="s">
        <v>14</v>
      </c>
      <c r="B27" s="1">
        <v>1</v>
      </c>
      <c r="C27" s="1">
        <f>B27^3-12*B27+10</f>
        <v>-1</v>
      </c>
      <c r="D27" s="1">
        <f>B27*6</f>
        <v>6</v>
      </c>
      <c r="E27" s="1" t="str">
        <f>IF(C27*D27&gt;0,"вып","нет")</f>
        <v>нет</v>
      </c>
    </row>
    <row r="29" spans="1:7">
      <c r="A29" s="14" t="s">
        <v>22</v>
      </c>
    </row>
    <row r="30" spans="1:7" ht="30">
      <c r="A30" s="2" t="s">
        <v>23</v>
      </c>
      <c r="B30" s="2" t="s">
        <v>24</v>
      </c>
      <c r="C30" s="2" t="s">
        <v>25</v>
      </c>
      <c r="D30" s="2" t="s">
        <v>26</v>
      </c>
      <c r="E30" s="2" t="s">
        <v>9</v>
      </c>
      <c r="F30" s="2" t="s">
        <v>11</v>
      </c>
      <c r="G30" s="21" t="s">
        <v>12</v>
      </c>
    </row>
    <row r="31" spans="1:7">
      <c r="A31" s="5">
        <v>1</v>
      </c>
      <c r="B31" s="5">
        <f>A31-(C31/D31)</f>
        <v>0.88888888888888884</v>
      </c>
      <c r="C31" s="5">
        <f>A31^3-12*A31+10</f>
        <v>-1</v>
      </c>
      <c r="D31" s="5">
        <f>A31^2*3-12</f>
        <v>-9</v>
      </c>
      <c r="E31" s="5">
        <f>ABS(B31-A31)</f>
        <v>0.11111111111111116</v>
      </c>
      <c r="F31" s="2" t="str">
        <f t="shared" ref="F31:F33" si="5">IF(E31&lt;$F$2,"Корень="&amp;ROUND(B31,4),"---")</f>
        <v>---</v>
      </c>
      <c r="G31" s="2">
        <v>1</v>
      </c>
    </row>
    <row r="32" spans="1:7">
      <c r="A32" s="5">
        <f>B31</f>
        <v>0.88888888888888884</v>
      </c>
      <c r="B32" s="5">
        <f>A32-(C32/D32)</f>
        <v>0.89259259259259249</v>
      </c>
      <c r="C32" s="5">
        <f t="shared" ref="C32:C33" si="6">A32^3-12*A32+10</f>
        <v>3.5665294924553947E-2</v>
      </c>
      <c r="D32" s="5">
        <f t="shared" ref="D32:D33" si="7">A32^2*3-12</f>
        <v>-9.6296296296296298</v>
      </c>
      <c r="E32" s="5">
        <f>ABS(B32-A32)</f>
        <v>3.7037037037036535E-3</v>
      </c>
      <c r="F32" s="2" t="str">
        <f t="shared" si="5"/>
        <v>---</v>
      </c>
      <c r="G32" s="2">
        <v>2</v>
      </c>
    </row>
    <row r="33" spans="1:7">
      <c r="A33" s="5">
        <f>B32</f>
        <v>0.89259259259259249</v>
      </c>
      <c r="B33" s="5">
        <f t="shared" ref="B33" si="8">A33-(C33/D33)</f>
        <v>0.8925964043743182</v>
      </c>
      <c r="C33" s="5">
        <f t="shared" si="6"/>
        <v>3.6630594930642246E-5</v>
      </c>
      <c r="D33" s="5">
        <f t="shared" si="7"/>
        <v>-9.6098353909465022</v>
      </c>
      <c r="E33" s="5">
        <f t="shared" ref="E33" si="9">ABS(B33-A33)</f>
        <v>3.8117817257043995E-6</v>
      </c>
      <c r="F33" s="6" t="str">
        <f t="shared" si="5"/>
        <v>Корень=0,8926</v>
      </c>
      <c r="G33" s="2">
        <v>3</v>
      </c>
    </row>
    <row r="34" spans="1:7">
      <c r="A34" s="11"/>
      <c r="B34" s="11"/>
      <c r="C34" s="11"/>
      <c r="D34" s="11"/>
      <c r="E34" s="11"/>
      <c r="F34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J23"/>
  <sheetViews>
    <sheetView tabSelected="1" workbookViewId="0">
      <selection activeCell="D12" sqref="D12"/>
    </sheetView>
  </sheetViews>
  <sheetFormatPr defaultRowHeight="15"/>
  <cols>
    <col min="6" max="6" width="13.42578125" bestFit="1" customWidth="1"/>
    <col min="7" max="7" width="10.85546875" customWidth="1"/>
    <col min="9" max="9" width="2.7109375" bestFit="1" customWidth="1"/>
    <col min="10" max="10" width="6.28515625" bestFit="1" customWidth="1"/>
  </cols>
  <sheetData>
    <row r="2" spans="1:10">
      <c r="A2" t="s">
        <v>30</v>
      </c>
      <c r="D2" s="13" t="s">
        <v>27</v>
      </c>
      <c r="E2" s="12" t="s">
        <v>17</v>
      </c>
      <c r="F2" s="16">
        <v>1E-3</v>
      </c>
    </row>
    <row r="3" spans="1:10">
      <c r="A3" t="s">
        <v>31</v>
      </c>
    </row>
    <row r="4" spans="1:10">
      <c r="A4" t="s">
        <v>32</v>
      </c>
      <c r="I4" s="26" t="s">
        <v>33</v>
      </c>
      <c r="J4" s="26" t="s">
        <v>3</v>
      </c>
    </row>
    <row r="5" spans="1:10">
      <c r="I5" s="26">
        <v>-3</v>
      </c>
      <c r="J5" s="27">
        <f>3*I5-EXP(1)^I5</f>
        <v>-9.0497870683678645</v>
      </c>
    </row>
    <row r="6" spans="1:10">
      <c r="A6" s="15" t="s">
        <v>13</v>
      </c>
      <c r="B6" s="15"/>
      <c r="C6" s="15"/>
      <c r="I6" s="26">
        <v>-2</v>
      </c>
      <c r="J6" s="27">
        <f t="shared" ref="J6:J15" si="0">3*I6-EXP(1)^I6</f>
        <v>-6.1353352832366124</v>
      </c>
    </row>
    <row r="7" spans="1:10">
      <c r="A7" s="20" t="s">
        <v>1</v>
      </c>
      <c r="B7" s="1" t="s">
        <v>2</v>
      </c>
      <c r="C7" s="1" t="s">
        <v>3</v>
      </c>
      <c r="D7" s="1" t="s">
        <v>4</v>
      </c>
      <c r="E7" s="1" t="s">
        <v>5</v>
      </c>
      <c r="I7" s="26">
        <v>-1</v>
      </c>
      <c r="J7" s="27">
        <f t="shared" si="0"/>
        <v>-3.3678794411714423</v>
      </c>
    </row>
    <row r="8" spans="1:10">
      <c r="A8" s="20" t="s">
        <v>15</v>
      </c>
      <c r="B8" s="1">
        <v>0</v>
      </c>
      <c r="C8" s="1">
        <f>A13*3-EXP(0)^A13</f>
        <v>2</v>
      </c>
      <c r="D8" s="1">
        <f>-EXP(0)^B8</f>
        <v>1</v>
      </c>
      <c r="E8" s="1" t="str">
        <f>IF(C8*D8&gt;0,"вып","нет")</f>
        <v>вып</v>
      </c>
      <c r="I8" s="28">
        <v>0</v>
      </c>
      <c r="J8" s="27">
        <f t="shared" si="0"/>
        <v>-1</v>
      </c>
    </row>
    <row r="9" spans="1:10">
      <c r="A9" s="20" t="s">
        <v>14</v>
      </c>
      <c r="B9" s="1">
        <v>1</v>
      </c>
      <c r="C9" s="1">
        <f>B9*3-EXP(0)^B9</f>
        <v>2</v>
      </c>
      <c r="D9" s="1">
        <f>-EXP(0)^B9</f>
        <v>-1</v>
      </c>
      <c r="E9" s="1" t="str">
        <f>IF(C9*D9&gt;0,"вып","нет")</f>
        <v>нет</v>
      </c>
      <c r="I9" s="28">
        <v>1</v>
      </c>
      <c r="J9" s="27">
        <f t="shared" si="0"/>
        <v>0.28171817154095491</v>
      </c>
    </row>
    <row r="10" spans="1:10">
      <c r="I10" s="26">
        <v>2</v>
      </c>
      <c r="J10" s="27">
        <f t="shared" si="0"/>
        <v>-1.3890560989306495</v>
      </c>
    </row>
    <row r="11" spans="1:10">
      <c r="A11" s="14" t="s">
        <v>22</v>
      </c>
      <c r="I11" s="26">
        <v>3</v>
      </c>
      <c r="J11" s="27">
        <f t="shared" si="0"/>
        <v>-11.085536923187664</v>
      </c>
    </row>
    <row r="12" spans="1:10" ht="30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9</v>
      </c>
      <c r="F12" s="2" t="s">
        <v>11</v>
      </c>
      <c r="G12" s="21" t="s">
        <v>12</v>
      </c>
    </row>
    <row r="13" spans="1:10">
      <c r="A13" s="5">
        <v>1</v>
      </c>
      <c r="B13" s="5">
        <f>A13-(C13/D13)</f>
        <v>0</v>
      </c>
      <c r="C13" s="5">
        <f>A13*3-EXP(1)^A13</f>
        <v>0.28171817154095491</v>
      </c>
      <c r="D13" s="5">
        <f>3-EXP(1)^A13</f>
        <v>0.28171817154095491</v>
      </c>
      <c r="E13" s="5">
        <f>ABS(B13-A13)</f>
        <v>1</v>
      </c>
      <c r="F13" s="2" t="str">
        <f t="shared" ref="F13:F15" si="1">IF(E13&lt;$F$2,"Корень="&amp;ROUND(B13,4),"---")</f>
        <v>---</v>
      </c>
      <c r="G13" s="2">
        <v>1</v>
      </c>
    </row>
    <row r="14" spans="1:10">
      <c r="A14" s="5">
        <f>B13</f>
        <v>0</v>
      </c>
      <c r="B14" s="5">
        <f>A14-(C14/D14)</f>
        <v>0.5</v>
      </c>
      <c r="C14" s="5">
        <f t="shared" ref="C14:C23" si="2">A14*3-EXP(1)^A14</f>
        <v>-1</v>
      </c>
      <c r="D14" s="5">
        <f t="shared" ref="D14:D23" si="3">3-EXP(1)^A14</f>
        <v>2</v>
      </c>
      <c r="E14" s="5">
        <f>ABS(B14-A14)</f>
        <v>0.5</v>
      </c>
      <c r="F14" s="2" t="str">
        <f t="shared" si="1"/>
        <v>---</v>
      </c>
      <c r="G14" s="2">
        <v>2</v>
      </c>
    </row>
    <row r="15" spans="1:10">
      <c r="A15" s="5">
        <f>B14</f>
        <v>0.5</v>
      </c>
      <c r="B15" s="5">
        <f t="shared" ref="B15:B16" si="4">A15-(C15/D15)</f>
        <v>0.61005965495896175</v>
      </c>
      <c r="C15" s="5">
        <f t="shared" si="2"/>
        <v>-0.14872127070012819</v>
      </c>
      <c r="D15" s="5">
        <f t="shared" si="3"/>
        <v>1.3512787292998718</v>
      </c>
      <c r="E15" s="5">
        <f t="shared" ref="E15:E16" si="5">ABS(B15-A15)</f>
        <v>0.11005965495896175</v>
      </c>
      <c r="F15" s="2" t="str">
        <f t="shared" si="1"/>
        <v>---</v>
      </c>
      <c r="G15" s="2">
        <v>3</v>
      </c>
    </row>
    <row r="16" spans="1:10">
      <c r="A16" s="5">
        <f t="shared" ref="A16" si="6">B15</f>
        <v>0.61005965495896175</v>
      </c>
      <c r="B16" s="5">
        <f t="shared" si="4"/>
        <v>0.61899677974153966</v>
      </c>
      <c r="C16" s="5">
        <f t="shared" si="2"/>
        <v>-1.0362228039168198E-2</v>
      </c>
      <c r="D16" s="5">
        <f t="shared" si="3"/>
        <v>1.1594588070839467</v>
      </c>
      <c r="E16" s="5">
        <f t="shared" si="5"/>
        <v>8.9371247825779099E-3</v>
      </c>
      <c r="F16" s="22" t="str">
        <f>IF(E16&lt;$F$2,"Корень="&amp;ROUND(B16,4),"---")</f>
        <v>---</v>
      </c>
      <c r="G16" s="2">
        <v>4</v>
      </c>
    </row>
    <row r="17" spans="1:7">
      <c r="A17" s="5">
        <f t="shared" ref="A17:A21" si="7">B16</f>
        <v>0.61899677974153966</v>
      </c>
      <c r="B17" s="5">
        <f t="shared" ref="B17:B21" si="8">A17-(C17/D17)</f>
        <v>0.61906128335531274</v>
      </c>
      <c r="C17" s="5">
        <f t="shared" si="2"/>
        <v>-7.3723498265509946E-5</v>
      </c>
      <c r="D17" s="5">
        <f t="shared" si="3"/>
        <v>1.1429359372771155</v>
      </c>
      <c r="E17" s="5">
        <f t="shared" ref="E17:E21" si="9">ABS(B17-A17)</f>
        <v>6.4503613773081447E-5</v>
      </c>
      <c r="F17" s="6" t="str">
        <f t="shared" ref="F17:F20" si="10">IF(E17&lt;$F$2,"Корень="&amp;ROUND(B17,4),"---")</f>
        <v>Корень=0,6191</v>
      </c>
      <c r="G17" s="2">
        <v>5</v>
      </c>
    </row>
    <row r="18" spans="1:7">
      <c r="A18" s="23"/>
      <c r="B18" s="23"/>
      <c r="C18" s="23"/>
      <c r="D18" s="23"/>
      <c r="E18" s="23"/>
      <c r="F18" s="24"/>
      <c r="G18" s="25"/>
    </row>
    <row r="19" spans="1:7">
      <c r="A19" s="23"/>
      <c r="B19" s="23"/>
      <c r="C19" s="23"/>
      <c r="D19" s="23"/>
      <c r="E19" s="23"/>
      <c r="F19" s="24"/>
      <c r="G19" s="25"/>
    </row>
    <row r="20" spans="1:7">
      <c r="A20" s="23"/>
      <c r="B20" s="23"/>
      <c r="C20" s="23"/>
      <c r="D20" s="23"/>
      <c r="E20" s="23"/>
      <c r="F20" s="24"/>
      <c r="G20" s="25"/>
    </row>
    <row r="21" spans="1:7">
      <c r="A21" s="23"/>
      <c r="B21" s="23"/>
      <c r="C21" s="23"/>
      <c r="D21" s="23"/>
      <c r="E21" s="23"/>
      <c r="F21" s="24"/>
      <c r="G21" s="25"/>
    </row>
    <row r="22" spans="1:7">
      <c r="A22" s="23"/>
      <c r="B22" s="23"/>
      <c r="C22" s="23"/>
      <c r="D22" s="23"/>
      <c r="E22" s="23"/>
      <c r="F22" s="24"/>
      <c r="G22" s="25"/>
    </row>
    <row r="23" spans="1:7">
      <c r="A23" s="23"/>
      <c r="B23" s="23"/>
      <c r="C23" s="23"/>
      <c r="D23" s="23"/>
      <c r="E23" s="23"/>
      <c r="F23" s="24"/>
      <c r="G23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0307</cp:lastModifiedBy>
  <dcterms:created xsi:type="dcterms:W3CDTF">2025-10-02T06:51:00Z</dcterms:created>
  <dcterms:modified xsi:type="dcterms:W3CDTF">2025-10-09T07:09:48Z</dcterms:modified>
</cp:coreProperties>
</file>