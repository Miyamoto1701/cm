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15" i="1"/>
  <c r="I4"/>
  <c r="I17"/>
  <c r="B16"/>
  <c r="B15"/>
  <c r="D16" l="1"/>
  <c r="F16" s="1"/>
  <c r="B17"/>
  <c r="C16"/>
  <c r="E16" s="1"/>
  <c r="D15"/>
  <c r="F15" s="1"/>
  <c r="C15"/>
  <c r="B18" l="1"/>
  <c r="C17"/>
  <c r="E17" s="1"/>
  <c r="D17"/>
  <c r="F17" s="1"/>
  <c r="D18" l="1"/>
  <c r="F18" s="1"/>
  <c r="B19"/>
  <c r="C18"/>
  <c r="E18" s="1"/>
  <c r="B2"/>
  <c r="D2" s="1"/>
  <c r="F2" s="1"/>
  <c r="B20" l="1"/>
  <c r="C19"/>
  <c r="E19" s="1"/>
  <c r="D19"/>
  <c r="F19" s="1"/>
  <c r="B3"/>
  <c r="B4" s="1"/>
  <c r="B5" s="1"/>
  <c r="C2"/>
  <c r="E2" s="1"/>
  <c r="C3"/>
  <c r="E3" s="1"/>
  <c r="D20" l="1"/>
  <c r="F20" s="1"/>
  <c r="B21"/>
  <c r="C20"/>
  <c r="E20" s="1"/>
  <c r="C4"/>
  <c r="E4" s="1"/>
  <c r="D4"/>
  <c r="F4" s="1"/>
  <c r="D3"/>
  <c r="F3" s="1"/>
  <c r="B6"/>
  <c r="B7" s="1"/>
  <c r="C5"/>
  <c r="E5" s="1"/>
  <c r="D5"/>
  <c r="F5" s="1"/>
  <c r="B22" l="1"/>
  <c r="C21"/>
  <c r="E21" s="1"/>
  <c r="D21"/>
  <c r="F21" s="1"/>
  <c r="D6"/>
  <c r="C6"/>
  <c r="E7" l="1"/>
  <c r="E6"/>
  <c r="F7"/>
  <c r="F6"/>
  <c r="D22"/>
  <c r="F22" s="1"/>
  <c r="B23"/>
  <c r="C22"/>
  <c r="E22" s="1"/>
  <c r="E8" l="1"/>
  <c r="E10" s="1"/>
  <c r="B24"/>
  <c r="C23"/>
  <c r="E23" s="1"/>
  <c r="D23"/>
  <c r="F23" s="1"/>
  <c r="D24" l="1"/>
  <c r="B25"/>
  <c r="C24"/>
  <c r="E25" l="1"/>
  <c r="E24"/>
  <c r="F25"/>
  <c r="F24"/>
  <c r="E26" l="1"/>
  <c r="E28" s="1"/>
  <c r="I28" s="1"/>
  <c r="I29" s="1"/>
</calcChain>
</file>

<file path=xl/sharedStrings.xml><?xml version="1.0" encoding="utf-8"?>
<sst xmlns="http://schemas.openxmlformats.org/spreadsheetml/2006/main" count="29" uniqueCount="18">
  <si>
    <t>i</t>
  </si>
  <si>
    <t>xi</t>
  </si>
  <si>
    <t>xi+h/2-h/(2*3^(1/2))</t>
  </si>
  <si>
    <t>xi+h/2+h/(2*3^(1/2))</t>
  </si>
  <si>
    <t>yi-</t>
  </si>
  <si>
    <t>yi+</t>
  </si>
  <si>
    <t>a</t>
  </si>
  <si>
    <t>b</t>
  </si>
  <si>
    <t>n</t>
  </si>
  <si>
    <t>h</t>
  </si>
  <si>
    <t>Сумма1</t>
  </si>
  <si>
    <t>Сумма</t>
  </si>
  <si>
    <t>Интеграл=</t>
  </si>
  <si>
    <t>xi+h/2-h/2*3^1/2</t>
  </si>
  <si>
    <t>xi+h/2+h/2*3^1/2</t>
  </si>
  <si>
    <t>e=</t>
  </si>
  <si>
    <t>В Mathcad Интеграл=</t>
  </si>
  <si>
    <t>d=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</si>
</sst>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0000"/>
    <numFmt numFmtId="166" formatCode="0.00000000"/>
    <numFmt numFmtId="168" formatCode="0.000000000"/>
    <numFmt numFmtId="179" formatCode="0.00000000%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8" borderId="1" xfId="0" applyNumberFormat="1" applyFill="1" applyBorder="1"/>
    <xf numFmtId="0" fontId="0" fillId="0" borderId="1" xfId="0" applyBorder="1" applyAlignment="1">
      <alignment horizontal="center"/>
    </xf>
    <xf numFmtId="164" fontId="0" fillId="9" borderId="1" xfId="0" applyNumberFormat="1" applyFill="1" applyBorder="1"/>
    <xf numFmtId="0" fontId="2" fillId="0" borderId="1" xfId="0" applyFont="1" applyBorder="1" applyAlignment="1">
      <alignment horizontal="right"/>
    </xf>
    <xf numFmtId="0" fontId="0" fillId="10" borderId="1" xfId="0" applyFill="1" applyBorder="1"/>
    <xf numFmtId="0" fontId="0" fillId="11" borderId="1" xfId="0" applyFill="1" applyBorder="1"/>
    <xf numFmtId="165" fontId="0" fillId="0" borderId="1" xfId="0" applyNumberFormat="1" applyBorder="1"/>
    <xf numFmtId="165" fontId="0" fillId="5" borderId="1" xfId="0" applyNumberFormat="1" applyFill="1" applyBorder="1"/>
    <xf numFmtId="165" fontId="0" fillId="12" borderId="1" xfId="0" applyNumberFormat="1" applyFill="1" applyBorder="1"/>
    <xf numFmtId="166" fontId="0" fillId="13" borderId="1" xfId="0" applyNumberFormat="1" applyFill="1" applyBorder="1"/>
    <xf numFmtId="168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right"/>
    </xf>
    <xf numFmtId="179" fontId="0" fillId="0" borderId="1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selection activeCell="I21" sqref="I21"/>
    </sheetView>
  </sheetViews>
  <sheetFormatPr defaultRowHeight="15"/>
  <cols>
    <col min="3" max="3" width="21.28515625" customWidth="1"/>
    <col min="4" max="4" width="23.140625" customWidth="1"/>
    <col min="5" max="5" width="10.5703125" bestFit="1" customWidth="1"/>
    <col min="9" max="9" width="15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>
        <v>0.1</v>
      </c>
    </row>
    <row r="2" spans="1:9">
      <c r="A2" s="3">
        <v>0</v>
      </c>
      <c r="B2" s="3">
        <f>I1</f>
        <v>0.1</v>
      </c>
      <c r="C2" s="4">
        <f>B2+$I$4/2-$I$4/(2*3^(1/2))</f>
        <v>0.12113248654051874</v>
      </c>
      <c r="D2" s="4">
        <f>B2+$I$4/2+$I$4/(2*3^(1/2))</f>
        <v>0.17886751345948138</v>
      </c>
      <c r="E2" s="4">
        <f>(3*C2^2+SIN(C2))/C2^2</f>
        <v>11.23524975675449</v>
      </c>
      <c r="F2" s="4">
        <f>(3*D2^2+SIN(D2))/D2^2</f>
        <v>8.5609665479152213</v>
      </c>
      <c r="H2" s="5" t="s">
        <v>7</v>
      </c>
      <c r="I2" s="5">
        <v>1.1000000000000001</v>
      </c>
    </row>
    <row r="3" spans="1:9">
      <c r="A3" s="3">
        <v>1</v>
      </c>
      <c r="B3" s="3">
        <f>B2+$I$4</f>
        <v>0.20000000000000009</v>
      </c>
      <c r="C3" s="4">
        <f t="shared" ref="C3:C6" si="0">B3+$I$4/2-$I$4/(2*3^(1/2))</f>
        <v>0.22113248654051879</v>
      </c>
      <c r="D3" s="4">
        <f t="shared" ref="D3:D6" si="1">B3+$I$4/2+$I$4/(2*3^(1/2))</f>
        <v>0.27886751345948141</v>
      </c>
      <c r="E3" s="4">
        <f t="shared" ref="E3:E6" si="2">(3*C3^2+SIN(C3))/C3^2</f>
        <v>7.485410485379675</v>
      </c>
      <c r="F3" s="4">
        <f t="shared" ref="F3:F6" si="3">(3*D3^2+SIN(D3))/D3^2</f>
        <v>6.5396346836215828</v>
      </c>
      <c r="H3" s="6" t="s">
        <v>8</v>
      </c>
      <c r="I3" s="6">
        <v>5</v>
      </c>
    </row>
    <row r="4" spans="1:9">
      <c r="A4" s="3">
        <v>2</v>
      </c>
      <c r="B4" s="3">
        <f t="shared" ref="B4:B7" si="4">B3+$I$4</f>
        <v>0.30000000000000016</v>
      </c>
      <c r="C4" s="4">
        <f t="shared" si="0"/>
        <v>0.3211324865405189</v>
      </c>
      <c r="D4" s="4">
        <f t="shared" si="1"/>
        <v>0.3788675134594815</v>
      </c>
      <c r="E4" s="4">
        <f t="shared" si="2"/>
        <v>6.060732781037804</v>
      </c>
      <c r="F4" s="4">
        <f t="shared" si="3"/>
        <v>5.5767521540838194</v>
      </c>
      <c r="H4" s="7" t="s">
        <v>9</v>
      </c>
      <c r="I4" s="7">
        <f>I2-I3/I3</f>
        <v>0.10000000000000009</v>
      </c>
    </row>
    <row r="5" spans="1:9">
      <c r="A5" s="3">
        <v>3</v>
      </c>
      <c r="B5" s="3">
        <f t="shared" si="4"/>
        <v>0.40000000000000024</v>
      </c>
      <c r="C5" s="4">
        <f t="shared" si="0"/>
        <v>0.42113248654051899</v>
      </c>
      <c r="D5" s="4">
        <f t="shared" si="1"/>
        <v>0.47886751345948159</v>
      </c>
      <c r="E5" s="4">
        <f t="shared" si="2"/>
        <v>5.3049806917402096</v>
      </c>
      <c r="F5" s="4">
        <f t="shared" si="3"/>
        <v>5.0093591234543</v>
      </c>
    </row>
    <row r="6" spans="1:9">
      <c r="A6" s="3">
        <v>4</v>
      </c>
      <c r="B6" s="3">
        <f t="shared" si="4"/>
        <v>0.50000000000000033</v>
      </c>
      <c r="C6" s="4">
        <f t="shared" si="0"/>
        <v>0.52113248654051902</v>
      </c>
      <c r="D6" s="4">
        <f t="shared" si="1"/>
        <v>0.57886751345948173</v>
      </c>
      <c r="E6" s="4">
        <f t="shared" si="2"/>
        <v>4.8332142283356418</v>
      </c>
      <c r="F6" s="4">
        <f t="shared" si="3"/>
        <v>4.632636677433112</v>
      </c>
    </row>
    <row r="7" spans="1:9">
      <c r="A7" s="8">
        <v>5</v>
      </c>
      <c r="B7" s="9">
        <f>B6+$I$4</f>
        <v>0.60000000000000042</v>
      </c>
      <c r="C7" s="10" t="s">
        <v>10</v>
      </c>
      <c r="D7" s="11"/>
      <c r="E7" s="12">
        <f>SUM(E2:E6)</f>
        <v>34.919587943247819</v>
      </c>
      <c r="F7" s="12">
        <f>SUM(F2:F6)</f>
        <v>30.319349186508035</v>
      </c>
    </row>
    <row r="8" spans="1:9">
      <c r="D8" s="13" t="s">
        <v>11</v>
      </c>
      <c r="E8" s="14">
        <f>E7+F7</f>
        <v>65.238937129755854</v>
      </c>
    </row>
    <row r="10" spans="1:9">
      <c r="D10" s="15" t="s">
        <v>12</v>
      </c>
      <c r="E10" s="16">
        <f>I4/2*E8</f>
        <v>3.2619468564877958</v>
      </c>
    </row>
    <row r="14" spans="1:9">
      <c r="A14" s="1" t="s">
        <v>0</v>
      </c>
      <c r="B14" s="1" t="s">
        <v>1</v>
      </c>
      <c r="C14" s="1" t="s">
        <v>13</v>
      </c>
      <c r="D14" s="1" t="s">
        <v>14</v>
      </c>
      <c r="E14" s="1" t="s">
        <v>4</v>
      </c>
      <c r="F14" s="1" t="s">
        <v>5</v>
      </c>
      <c r="H14" s="2" t="s">
        <v>6</v>
      </c>
      <c r="I14" s="2">
        <v>0.1</v>
      </c>
    </row>
    <row r="15" spans="1:9">
      <c r="A15" s="17">
        <v>0</v>
      </c>
      <c r="B15" s="17">
        <f>I14</f>
        <v>0.1</v>
      </c>
      <c r="C15" s="18">
        <f>B15+$I$17/2-$I$17/(2*3^(1/2))</f>
        <v>0.12113248654051874</v>
      </c>
      <c r="D15" s="18">
        <f>B15+$I$17/2+$I$17/(2*3^(1/2))</f>
        <v>0.17886751345948138</v>
      </c>
      <c r="E15" s="18">
        <f>(3*C15^2+SIN(C15))/C15^2</f>
        <v>11.23524975675449</v>
      </c>
      <c r="F15" s="18">
        <f>(3*D15^2+SIN(D15))/D15^2</f>
        <v>8.5609665479152213</v>
      </c>
      <c r="H15" s="5" t="s">
        <v>7</v>
      </c>
      <c r="I15" s="5">
        <v>1.1000000000000001</v>
      </c>
    </row>
    <row r="16" spans="1:9">
      <c r="A16" s="17">
        <v>1</v>
      </c>
      <c r="B16" s="17">
        <f>B15+$I$17</f>
        <v>0.20000000000000009</v>
      </c>
      <c r="C16" s="18">
        <f t="shared" ref="C16:C24" si="5">B16+$I$17/2-$I$17/(2*3^(1/2))</f>
        <v>0.22113248654051879</v>
      </c>
      <c r="D16" s="18">
        <f t="shared" ref="D16:D24" si="6">B16+$I$17/2+$I$17/(2*3^(1/2))</f>
        <v>0.27886751345948141</v>
      </c>
      <c r="E16" s="18">
        <f t="shared" ref="E16:E24" si="7">(3*C16^2+SIN(C16))/C16^2</f>
        <v>7.485410485379675</v>
      </c>
      <c r="F16" s="18">
        <f t="shared" ref="F16:F24" si="8">(3*D16^2+SIN(D16))/D16^2</f>
        <v>6.5396346836215828</v>
      </c>
      <c r="H16" s="6" t="s">
        <v>8</v>
      </c>
      <c r="I16" s="6">
        <v>10</v>
      </c>
    </row>
    <row r="17" spans="1:9">
      <c r="A17" s="17">
        <v>2</v>
      </c>
      <c r="B17" s="17">
        <f t="shared" ref="B17:B25" si="9">B16+$I$17</f>
        <v>0.30000000000000016</v>
      </c>
      <c r="C17" s="18">
        <f t="shared" si="5"/>
        <v>0.3211324865405189</v>
      </c>
      <c r="D17" s="18">
        <f t="shared" si="6"/>
        <v>0.3788675134594815</v>
      </c>
      <c r="E17" s="18">
        <f t="shared" si="7"/>
        <v>6.060732781037804</v>
      </c>
      <c r="F17" s="18">
        <f t="shared" si="8"/>
        <v>5.5767521540838194</v>
      </c>
      <c r="H17" s="7" t="s">
        <v>9</v>
      </c>
      <c r="I17" s="7">
        <f>I15-I16/I16</f>
        <v>0.10000000000000009</v>
      </c>
    </row>
    <row r="18" spans="1:9">
      <c r="A18" s="17">
        <v>3</v>
      </c>
      <c r="B18" s="17">
        <f t="shared" si="9"/>
        <v>0.40000000000000024</v>
      </c>
      <c r="C18" s="18">
        <f t="shared" si="5"/>
        <v>0.42113248654051899</v>
      </c>
      <c r="D18" s="18">
        <f t="shared" si="6"/>
        <v>0.47886751345948159</v>
      </c>
      <c r="E18" s="18">
        <f t="shared" si="7"/>
        <v>5.3049806917402096</v>
      </c>
      <c r="F18" s="18">
        <f t="shared" si="8"/>
        <v>5.0093591234543</v>
      </c>
    </row>
    <row r="19" spans="1:9">
      <c r="A19" s="17">
        <v>4</v>
      </c>
      <c r="B19" s="17">
        <f t="shared" si="9"/>
        <v>0.50000000000000033</v>
      </c>
      <c r="C19" s="18">
        <f t="shared" si="5"/>
        <v>0.52113248654051902</v>
      </c>
      <c r="D19" s="18">
        <f t="shared" si="6"/>
        <v>0.57886751345948173</v>
      </c>
      <c r="E19" s="18">
        <f t="shared" si="7"/>
        <v>4.8332142283356418</v>
      </c>
      <c r="F19" s="18">
        <f t="shared" si="8"/>
        <v>4.632636677433112</v>
      </c>
    </row>
    <row r="20" spans="1:9">
      <c r="A20" s="17">
        <v>5</v>
      </c>
      <c r="B20" s="17">
        <f t="shared" si="9"/>
        <v>0.60000000000000042</v>
      </c>
      <c r="C20" s="18">
        <f t="shared" si="5"/>
        <v>0.62113248654051911</v>
      </c>
      <c r="D20" s="18">
        <f t="shared" si="6"/>
        <v>0.67886751345948182</v>
      </c>
      <c r="E20" s="18">
        <f t="shared" si="7"/>
        <v>4.5084191252678858</v>
      </c>
      <c r="F20" s="18">
        <f t="shared" si="8"/>
        <v>4.3624756552790016</v>
      </c>
    </row>
    <row r="21" spans="1:9">
      <c r="A21" s="17">
        <v>6</v>
      </c>
      <c r="B21" s="17">
        <f t="shared" si="9"/>
        <v>0.70000000000000051</v>
      </c>
      <c r="C21" s="18">
        <f t="shared" si="5"/>
        <v>0.7211324865405192</v>
      </c>
      <c r="D21" s="18">
        <f t="shared" si="6"/>
        <v>0.77886751345948191</v>
      </c>
      <c r="E21" s="18">
        <f t="shared" si="7"/>
        <v>4.2696056755196308</v>
      </c>
      <c r="F21" s="18">
        <f t="shared" si="8"/>
        <v>4.1579851599187156</v>
      </c>
    </row>
    <row r="22" spans="1:9">
      <c r="A22" s="17">
        <v>7</v>
      </c>
      <c r="B22" s="17">
        <f t="shared" si="9"/>
        <v>0.8000000000000006</v>
      </c>
      <c r="C22" s="18">
        <f t="shared" si="5"/>
        <v>0.82113248654051929</v>
      </c>
      <c r="D22" s="18">
        <f t="shared" si="6"/>
        <v>0.878867513459482</v>
      </c>
      <c r="E22" s="18">
        <f t="shared" si="7"/>
        <v>4.0855152755482083</v>
      </c>
      <c r="F22" s="18">
        <f t="shared" si="8"/>
        <v>3.9969041152167235</v>
      </c>
    </row>
    <row r="23" spans="1:9">
      <c r="A23" s="17">
        <v>8</v>
      </c>
      <c r="B23" s="17">
        <f t="shared" si="9"/>
        <v>0.90000000000000069</v>
      </c>
      <c r="C23" s="18">
        <f t="shared" si="5"/>
        <v>0.92113248654051938</v>
      </c>
      <c r="D23" s="18">
        <f t="shared" si="6"/>
        <v>0.97886751345948209</v>
      </c>
      <c r="E23" s="18">
        <f t="shared" si="7"/>
        <v>3.9384811029851847</v>
      </c>
      <c r="F23" s="18">
        <f t="shared" si="8"/>
        <v>3.8660842681691072</v>
      </c>
    </row>
    <row r="24" spans="1:9">
      <c r="A24" s="17">
        <v>9</v>
      </c>
      <c r="B24" s="17">
        <f t="shared" si="9"/>
        <v>1.0000000000000009</v>
      </c>
      <c r="C24" s="18">
        <f t="shared" si="5"/>
        <v>1.0211324865405196</v>
      </c>
      <c r="D24" s="18">
        <f t="shared" si="6"/>
        <v>1.0788675134594823</v>
      </c>
      <c r="E24" s="18">
        <f t="shared" si="7"/>
        <v>3.8177718719508049</v>
      </c>
      <c r="F24" s="18">
        <f t="shared" si="8"/>
        <v>3.7572658598435216</v>
      </c>
    </row>
    <row r="25" spans="1:9">
      <c r="A25" s="9">
        <v>10</v>
      </c>
      <c r="B25" s="9">
        <f t="shared" si="9"/>
        <v>1.100000000000001</v>
      </c>
      <c r="C25" s="10" t="s">
        <v>10</v>
      </c>
      <c r="D25" s="11"/>
      <c r="E25" s="19">
        <f>SUM(E15:E24)</f>
        <v>55.539380994519533</v>
      </c>
      <c r="F25" s="19">
        <f>SUM(F15:F24)</f>
        <v>50.460064244935104</v>
      </c>
    </row>
    <row r="26" spans="1:9">
      <c r="D26" s="13" t="s">
        <v>11</v>
      </c>
      <c r="E26" s="20">
        <f>E25+F25</f>
        <v>105.99944523945464</v>
      </c>
    </row>
    <row r="28" spans="1:9">
      <c r="D28" s="15" t="s">
        <v>12</v>
      </c>
      <c r="E28" s="21">
        <f>I17/2*E26</f>
        <v>5.2999722619727372</v>
      </c>
      <c r="H28" s="24" t="s">
        <v>17</v>
      </c>
      <c r="I28" s="22">
        <f>ABS(E29-E28)</f>
        <v>9.1515802726238604E-4</v>
      </c>
    </row>
    <row r="29" spans="1:9">
      <c r="D29" s="15" t="s">
        <v>16</v>
      </c>
      <c r="E29" s="23">
        <v>5.3008874199999996</v>
      </c>
      <c r="H29" s="24" t="s">
        <v>15</v>
      </c>
      <c r="I29" s="25">
        <f>I28/E29</f>
        <v>1.7264241904280738E-4</v>
      </c>
    </row>
  </sheetData>
  <mergeCells count="2">
    <mergeCell ref="C7:D7"/>
    <mergeCell ref="C25:D2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2025-11-28T08:30:32Z</dcterms:modified>
</cp:coreProperties>
</file>