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3" sheetId="3" r:id="rId2"/>
  </sheets>
  <calcPr calcId="125725"/>
</workbook>
</file>

<file path=xl/calcChain.xml><?xml version="1.0" encoding="utf-8"?>
<calcChain xmlns="http://schemas.openxmlformats.org/spreadsheetml/2006/main">
  <c r="C12" i="1"/>
  <c r="F6"/>
  <c r="G9"/>
  <c r="G8"/>
  <c r="G7"/>
  <c r="G6"/>
  <c r="F2" i="3" l="1"/>
  <c r="E3"/>
  <c r="E2"/>
  <c r="D3"/>
  <c r="D4"/>
  <c r="D5"/>
  <c r="E4" s="1"/>
  <c r="F3" s="1"/>
  <c r="G2" s="1"/>
  <c r="D2"/>
  <c r="C7" i="1"/>
  <c r="C5"/>
  <c r="D7" s="1"/>
  <c r="D5"/>
  <c r="E5"/>
  <c r="B5"/>
  <c r="E9" l="1"/>
  <c r="E6"/>
  <c r="D9"/>
  <c r="E8"/>
  <c r="D8"/>
  <c r="C9"/>
  <c r="C8"/>
  <c r="E7"/>
  <c r="C6"/>
  <c r="B7"/>
  <c r="D6"/>
  <c r="B6"/>
  <c r="B8"/>
  <c r="B9"/>
  <c r="F7"/>
  <c r="H7" s="1"/>
  <c r="H6"/>
  <c r="F9" l="1"/>
  <c r="H9" s="1"/>
  <c r="F10"/>
  <c r="F8"/>
  <c r="H8" s="1"/>
  <c r="H10" s="1"/>
</calcChain>
</file>

<file path=xl/sharedStrings.xml><?xml version="1.0" encoding="utf-8"?>
<sst xmlns="http://schemas.openxmlformats.org/spreadsheetml/2006/main" count="25" uniqueCount="20">
  <si>
    <t>x</t>
  </si>
  <si>
    <t>F(x)</t>
  </si>
  <si>
    <t>y</t>
  </si>
  <si>
    <t>x0</t>
  </si>
  <si>
    <t>x1</t>
  </si>
  <si>
    <t>x2</t>
  </si>
  <si>
    <t>x3</t>
  </si>
  <si>
    <t>yi</t>
  </si>
  <si>
    <t>Pi</t>
  </si>
  <si>
    <t>yi/Pi</t>
  </si>
  <si>
    <t>P=</t>
  </si>
  <si>
    <t>S=</t>
  </si>
  <si>
    <t>x=</t>
  </si>
  <si>
    <t>по формуле Лагранжа</t>
  </si>
  <si>
    <t>№</t>
  </si>
  <si>
    <r>
      <t>Δ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y</t>
    </r>
  </si>
  <si>
    <r>
      <t>Δ</t>
    </r>
    <r>
      <rPr>
        <sz val="11"/>
        <color theme="1"/>
        <rFont val="Calibri"/>
        <family val="2"/>
        <charset val="204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</si>
  <si>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y</t>
    </r>
  </si>
  <si>
    <r>
      <t>Δ</t>
    </r>
    <r>
      <rPr>
        <vertAlign val="superscript"/>
        <sz val="11"/>
        <color theme="1"/>
        <rFont val="Calibri"/>
        <family val="2"/>
        <charset val="204"/>
        <scheme val="minor"/>
      </rPr>
      <t>4</t>
    </r>
    <r>
      <rPr>
        <sz val="11"/>
        <color theme="1"/>
        <rFont val="Calibri"/>
        <family val="2"/>
        <charset val="204"/>
        <scheme val="minor"/>
      </rPr>
      <t>y</t>
    </r>
  </si>
  <si>
    <t>f(1,15)=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</si>
</sst>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2" borderId="2" xfId="0" applyFill="1" applyBorder="1"/>
    <xf numFmtId="164" fontId="0" fillId="3" borderId="2" xfId="0" applyNumberFormat="1" applyFill="1" applyBorder="1"/>
    <xf numFmtId="164" fontId="0" fillId="4" borderId="1" xfId="0" applyNumberFormat="1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4" xfId="0" applyFill="1" applyBorder="1"/>
    <xf numFmtId="0" fontId="0" fillId="6" borderId="1" xfId="0" applyFill="1" applyBorder="1"/>
    <xf numFmtId="0" fontId="0" fillId="3" borderId="3" xfId="0" applyFill="1" applyBorder="1"/>
    <xf numFmtId="2" fontId="0" fillId="7" borderId="1" xfId="0" applyNumberFormat="1" applyFill="1" applyBorder="1"/>
    <xf numFmtId="0" fontId="0" fillId="5" borderId="0" xfId="0" applyFill="1"/>
    <xf numFmtId="0" fontId="0" fillId="2" borderId="0" xfId="0" applyFill="1"/>
    <xf numFmtId="0" fontId="0" fillId="0" borderId="0" xfId="0" applyAlignment="1">
      <alignment horizontal="right"/>
    </xf>
    <xf numFmtId="164" fontId="0" fillId="2" borderId="0" xfId="0" applyNumberFormat="1" applyFill="1"/>
    <xf numFmtId="164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1" xfId="0" applyFont="1" applyBorder="1"/>
    <xf numFmtId="0" fontId="0" fillId="8" borderId="1" xfId="0" applyFill="1" applyBorder="1"/>
    <xf numFmtId="0" fontId="0" fillId="2" borderId="1" xfId="0" applyFill="1" applyBorder="1"/>
    <xf numFmtId="0" fontId="0" fillId="9" borderId="1" xfId="0" applyFill="1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9" borderId="1" xfId="0" applyNumberFormat="1" applyFill="1" applyBorder="1"/>
    <xf numFmtId="2" fontId="0" fillId="0" borderId="0" xfId="0" applyNumberFormat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zoomScale="130" zoomScaleNormal="130" workbookViewId="0">
      <selection activeCell="G14" sqref="G14"/>
    </sheetView>
  </sheetViews>
  <sheetFormatPr defaultRowHeight="15"/>
  <cols>
    <col min="6" max="7" width="9.85546875" bestFit="1" customWidth="1"/>
  </cols>
  <sheetData>
    <row r="1" spans="1:8">
      <c r="A1" s="1" t="s">
        <v>0</v>
      </c>
      <c r="B1" s="1">
        <v>0</v>
      </c>
      <c r="C1" s="1">
        <v>2</v>
      </c>
      <c r="D1" s="1">
        <v>3</v>
      </c>
      <c r="E1" s="1">
        <v>5</v>
      </c>
    </row>
    <row r="2" spans="1:8">
      <c r="A2" s="1" t="s">
        <v>1</v>
      </c>
      <c r="B2" s="1">
        <v>-1</v>
      </c>
      <c r="C2" s="1">
        <v>-4</v>
      </c>
      <c r="D2" s="1">
        <v>2</v>
      </c>
      <c r="E2" s="1">
        <v>-8</v>
      </c>
    </row>
    <row r="4" spans="1:8">
      <c r="A4" s="15" t="s">
        <v>12</v>
      </c>
      <c r="B4" t="s">
        <v>3</v>
      </c>
      <c r="C4" t="s">
        <v>4</v>
      </c>
      <c r="D4" t="s">
        <v>5</v>
      </c>
      <c r="E4" t="s">
        <v>6</v>
      </c>
    </row>
    <row r="5" spans="1:8" ht="15.75" thickBot="1">
      <c r="A5" s="9">
        <v>1.1499999999999999</v>
      </c>
      <c r="B5" s="11">
        <f>B1</f>
        <v>0</v>
      </c>
      <c r="C5" s="12">
        <f>C1</f>
        <v>2</v>
      </c>
      <c r="D5" s="12">
        <f>D1</f>
        <v>3</v>
      </c>
      <c r="E5" s="12">
        <f>E1</f>
        <v>5</v>
      </c>
      <c r="F5" s="1" t="s">
        <v>8</v>
      </c>
      <c r="G5" s="1" t="s">
        <v>7</v>
      </c>
      <c r="H5" s="1" t="s">
        <v>9</v>
      </c>
    </row>
    <row r="6" spans="1:8" ht="15.75" thickBot="1">
      <c r="A6" s="13" t="s">
        <v>3</v>
      </c>
      <c r="B6" s="6">
        <f>A5-B5</f>
        <v>1.1499999999999999</v>
      </c>
      <c r="C6" s="4">
        <f>B5-C5</f>
        <v>-2</v>
      </c>
      <c r="D6" s="1">
        <f>B5-D5</f>
        <v>-3</v>
      </c>
      <c r="E6" s="1">
        <f>B5-E5</f>
        <v>-5</v>
      </c>
      <c r="F6" s="2">
        <f>B6*C6*D6*E6</f>
        <v>-34.5</v>
      </c>
      <c r="G6" s="14">
        <f>B2</f>
        <v>-1</v>
      </c>
      <c r="H6" s="2">
        <f>G6/F6</f>
        <v>2.8985507246376812E-2</v>
      </c>
    </row>
    <row r="7" spans="1:8" ht="15.75" thickBot="1">
      <c r="A7" s="10" t="s">
        <v>4</v>
      </c>
      <c r="B7" s="3">
        <f>C$5-$B$5</f>
        <v>2</v>
      </c>
      <c r="C7" s="6">
        <f>A5-C5</f>
        <v>-0.85000000000000009</v>
      </c>
      <c r="D7" s="4">
        <f>C5-D5</f>
        <v>-1</v>
      </c>
      <c r="E7" s="1">
        <f>C5-E5</f>
        <v>-3</v>
      </c>
      <c r="F7" s="2">
        <f t="shared" ref="F7:F9" si="0">B7*C7*D7*E7</f>
        <v>-5.1000000000000005</v>
      </c>
      <c r="G7" s="14">
        <f>C2</f>
        <v>-4</v>
      </c>
      <c r="H7" s="2">
        <f t="shared" ref="H7:H9" si="1">G7/F7</f>
        <v>0.78431372549019596</v>
      </c>
    </row>
    <row r="8" spans="1:8" ht="15.75" thickBot="1">
      <c r="A8" s="10" t="s">
        <v>5</v>
      </c>
      <c r="B8" s="1">
        <f>D$5-$B$5</f>
        <v>3</v>
      </c>
      <c r="C8" s="3">
        <f>D5-C5</f>
        <v>1</v>
      </c>
      <c r="D8" s="6">
        <f>A5-D5</f>
        <v>-1.85</v>
      </c>
      <c r="E8" s="4">
        <f>D5-E5</f>
        <v>-2</v>
      </c>
      <c r="F8" s="2">
        <f t="shared" si="0"/>
        <v>11.100000000000001</v>
      </c>
      <c r="G8" s="14">
        <f>D2</f>
        <v>2</v>
      </c>
      <c r="H8" s="2">
        <f t="shared" si="1"/>
        <v>0.18018018018018014</v>
      </c>
    </row>
    <row r="9" spans="1:8" ht="15.75" thickBot="1">
      <c r="A9" s="10" t="s">
        <v>6</v>
      </c>
      <c r="B9" s="1">
        <f>E$5-$B$5</f>
        <v>5</v>
      </c>
      <c r="C9" s="1">
        <f>E5-C5</f>
        <v>3</v>
      </c>
      <c r="D9" s="3">
        <f>E5-D5</f>
        <v>2</v>
      </c>
      <c r="E9" s="6">
        <f>A5-E5</f>
        <v>-3.85</v>
      </c>
      <c r="F9" s="5">
        <f t="shared" si="0"/>
        <v>-115.5</v>
      </c>
      <c r="G9" s="14">
        <f>E2</f>
        <v>-8</v>
      </c>
      <c r="H9" s="2">
        <f t="shared" si="1"/>
        <v>6.9264069264069264E-2</v>
      </c>
    </row>
    <row r="10" spans="1:8" ht="15.75" thickBot="1">
      <c r="E10" s="20" t="s">
        <v>10</v>
      </c>
      <c r="F10" s="7">
        <f>B6*C7*D8*E9</f>
        <v>-6.9622437500000007</v>
      </c>
      <c r="G10" s="19" t="s">
        <v>11</v>
      </c>
      <c r="H10" s="8">
        <f>SUM(H6:H9)</f>
        <v>1.0627434821808222</v>
      </c>
    </row>
    <row r="12" spans="1:8">
      <c r="B12" s="17" t="s">
        <v>19</v>
      </c>
      <c r="C12" s="18">
        <f>-7.399</f>
        <v>-7.399</v>
      </c>
      <c r="D12" s="16" t="s">
        <v>13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selection activeCell="M20" sqref="M20"/>
    </sheetView>
  </sheetViews>
  <sheetFormatPr defaultRowHeight="15"/>
  <cols>
    <col min="6" max="6" width="12.7109375" style="28" bestFit="1" customWidth="1"/>
  </cols>
  <sheetData>
    <row r="1" spans="1:7" ht="17.25">
      <c r="A1" s="1" t="s">
        <v>14</v>
      </c>
      <c r="B1" s="1" t="s">
        <v>0</v>
      </c>
      <c r="C1" s="1" t="s">
        <v>2</v>
      </c>
      <c r="D1" s="21" t="s">
        <v>16</v>
      </c>
      <c r="E1" s="21" t="s">
        <v>15</v>
      </c>
      <c r="F1" s="25" t="s">
        <v>17</v>
      </c>
      <c r="G1" s="1" t="s">
        <v>18</v>
      </c>
    </row>
    <row r="2" spans="1:7">
      <c r="A2" s="22">
        <v>0</v>
      </c>
      <c r="B2" s="1">
        <v>0</v>
      </c>
      <c r="C2" s="23">
        <v>0.69</v>
      </c>
      <c r="D2" s="23">
        <f>C3-C2</f>
        <v>0.49</v>
      </c>
      <c r="E2" s="23">
        <f>D3-D2</f>
        <v>-5.9999999999999831E-2</v>
      </c>
      <c r="F2" s="26">
        <f>E3-E2</f>
        <v>-4.4408920985006262E-16</v>
      </c>
      <c r="G2" s="27">
        <f>F3-F2</f>
        <v>-2.2899999999999987</v>
      </c>
    </row>
    <row r="3" spans="1:7">
      <c r="A3" s="22">
        <v>1</v>
      </c>
      <c r="B3" s="1">
        <v>2</v>
      </c>
      <c r="C3" s="1">
        <v>1.18</v>
      </c>
      <c r="D3" s="29">
        <f t="shared" ref="D3:E5" si="0">C4-C3</f>
        <v>0.43000000000000016</v>
      </c>
      <c r="E3" s="29">
        <f t="shared" si="0"/>
        <v>-6.0000000000000275E-2</v>
      </c>
      <c r="F3" s="27">
        <f>E4-E3</f>
        <v>-2.2899999999999991</v>
      </c>
      <c r="G3" s="1"/>
    </row>
    <row r="4" spans="1:7">
      <c r="A4" s="22">
        <v>2</v>
      </c>
      <c r="B4" s="1">
        <v>3</v>
      </c>
      <c r="C4" s="1">
        <v>1.61</v>
      </c>
      <c r="D4" s="29">
        <f t="shared" si="0"/>
        <v>0.36999999999999988</v>
      </c>
      <c r="E4" s="24">
        <f t="shared" si="0"/>
        <v>-2.3499999999999996</v>
      </c>
      <c r="F4" s="25"/>
      <c r="G4" s="1"/>
    </row>
    <row r="5" spans="1:7">
      <c r="A5" s="22">
        <v>3</v>
      </c>
      <c r="B5" s="1">
        <v>5</v>
      </c>
      <c r="C5" s="1">
        <v>1.98</v>
      </c>
      <c r="D5" s="24">
        <f t="shared" si="0"/>
        <v>-1.98</v>
      </c>
      <c r="E5" s="1"/>
      <c r="F5" s="25"/>
      <c r="G5" s="1"/>
    </row>
    <row r="6" spans="1:7">
      <c r="A6" s="22"/>
      <c r="B6" s="1"/>
      <c r="C6" s="24"/>
      <c r="D6" s="1"/>
      <c r="E6" s="1"/>
      <c r="F6" s="25"/>
      <c r="G6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2025-11-11T07:12:47Z</dcterms:modified>
</cp:coreProperties>
</file>