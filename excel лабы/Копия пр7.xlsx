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ячеслав\Desktop\"/>
    </mc:Choice>
  </mc:AlternateContent>
  <xr:revisionPtr revIDLastSave="0" documentId="8_{06D57DF0-65CA-44D4-ADCD-B923A2C64B6B}" xr6:coauthVersionLast="47" xr6:coauthVersionMax="47" xr10:uidLastSave="{00000000-0000-0000-0000-000000000000}"/>
  <bookViews>
    <workbookView xWindow="3384" yWindow="3384" windowWidth="17280" windowHeight="9420" activeTab="1" xr2:uid="{00000000-000D-0000-FFFF-FFFF00000000}"/>
  </bookViews>
  <sheets>
    <sheet name="10" sheetId="1" r:id="rId1"/>
    <sheet name="20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" i="1" s="1"/>
  <c r="L2" i="1" s="1"/>
  <c r="B2" i="1"/>
  <c r="D2" i="1" s="1"/>
  <c r="Q1" i="1"/>
  <c r="J2" i="1" l="1"/>
  <c r="N2" i="1"/>
  <c r="K2" i="1"/>
  <c r="M2" i="1"/>
  <c r="B3" i="1"/>
  <c r="B4" i="1" l="1"/>
  <c r="C3" i="1"/>
  <c r="E3" i="1" s="1"/>
  <c r="L3" i="1" s="1"/>
  <c r="D3" i="1"/>
  <c r="J3" i="1" l="1"/>
  <c r="K3" i="1"/>
  <c r="M3" i="1"/>
  <c r="N3" i="1"/>
  <c r="B5" i="1"/>
  <c r="C4" i="1"/>
  <c r="E4" i="1" s="1"/>
  <c r="L4" i="1" s="1"/>
  <c r="D4" i="1"/>
  <c r="K4" i="1" l="1"/>
  <c r="M4" i="1"/>
  <c r="J4" i="1"/>
  <c r="N4" i="1"/>
  <c r="B6" i="1"/>
  <c r="D5" i="1"/>
  <c r="C5" i="1"/>
  <c r="E5" i="1" s="1"/>
  <c r="L5" i="1" s="1"/>
  <c r="J5" i="1" l="1"/>
  <c r="K5" i="1"/>
  <c r="M5" i="1"/>
  <c r="N5" i="1"/>
  <c r="B7" i="1"/>
  <c r="D6" i="1"/>
  <c r="C6" i="1"/>
  <c r="E6" i="1" s="1"/>
  <c r="L6" i="1" s="1"/>
  <c r="K6" i="1" l="1"/>
  <c r="M6" i="1"/>
  <c r="N6" i="1"/>
  <c r="J6" i="1"/>
  <c r="B8" i="1"/>
  <c r="C7" i="1"/>
  <c r="E7" i="1" s="1"/>
  <c r="L7" i="1" s="1"/>
  <c r="D7" i="1"/>
  <c r="N7" i="1" l="1"/>
  <c r="J7" i="1"/>
  <c r="M7" i="1"/>
  <c r="K7" i="1"/>
  <c r="B9" i="1"/>
  <c r="C8" i="1"/>
  <c r="E8" i="1" s="1"/>
  <c r="L8" i="1" s="1"/>
  <c r="D8" i="1"/>
  <c r="M8" i="1" l="1"/>
  <c r="N8" i="1"/>
  <c r="J8" i="1"/>
  <c r="K8" i="1"/>
  <c r="B10" i="1"/>
  <c r="D9" i="1"/>
  <c r="C9" i="1"/>
  <c r="E9" i="1" s="1"/>
  <c r="L9" i="1" s="1"/>
  <c r="M9" i="1" l="1"/>
  <c r="N9" i="1"/>
  <c r="J9" i="1"/>
  <c r="K9" i="1"/>
  <c r="B11" i="1"/>
  <c r="C10" i="1"/>
  <c r="E10" i="1" s="1"/>
  <c r="L10" i="1" s="1"/>
  <c r="D10" i="1"/>
  <c r="K10" i="1" l="1"/>
  <c r="M10" i="1"/>
  <c r="J10" i="1"/>
  <c r="N10" i="1"/>
  <c r="B12" i="1"/>
  <c r="C11" i="1"/>
  <c r="E11" i="1" s="1"/>
  <c r="L11" i="1" s="1"/>
  <c r="D11" i="1"/>
  <c r="J11" i="1" l="1"/>
  <c r="K11" i="1"/>
  <c r="M11" i="1"/>
  <c r="N11" i="1"/>
  <c r="D12" i="1"/>
  <c r="C12" i="1"/>
  <c r="E12" i="1" s="1"/>
  <c r="L12" i="1" s="1"/>
  <c r="L13" i="1" s="1"/>
  <c r="L16" i="1" s="1"/>
  <c r="R13" i="1" s="1"/>
  <c r="R20" i="1" s="1"/>
  <c r="J12" i="1" l="1"/>
  <c r="J13" i="1" s="1"/>
  <c r="J16" i="1" s="1"/>
  <c r="R11" i="1" s="1"/>
  <c r="R18" i="1" s="1"/>
  <c r="K12" i="1"/>
  <c r="K13" i="1" s="1"/>
  <c r="K16" i="1" s="1"/>
  <c r="R12" i="1" s="1"/>
  <c r="R19" i="1" s="1"/>
  <c r="M12" i="1"/>
  <c r="M13" i="1" s="1"/>
  <c r="M16" i="1" s="1"/>
  <c r="R14" i="1" s="1"/>
  <c r="R21" i="1" s="1"/>
  <c r="N12" i="1"/>
  <c r="N13" i="1" s="1"/>
  <c r="N16" i="1" s="1"/>
  <c r="R15" i="1" s="1"/>
  <c r="R22" i="1" s="1"/>
</calcChain>
</file>

<file path=xl/sharedStrings.xml><?xml version="1.0" encoding="utf-8"?>
<sst xmlns="http://schemas.openxmlformats.org/spreadsheetml/2006/main" count="55" uniqueCount="48">
  <si>
    <t>i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</si>
  <si>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</si>
  <si>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icp</t>
    </r>
  </si>
  <si>
    <t>c*y лев</t>
  </si>
  <si>
    <t>c*y пр</t>
  </si>
  <si>
    <t>c*y сред</t>
  </si>
  <si>
    <t>c*y трап</t>
  </si>
  <si>
    <t>c*y параб</t>
  </si>
  <si>
    <t>h=</t>
  </si>
  <si>
    <t>a=</t>
  </si>
  <si>
    <t>b=</t>
  </si>
  <si>
    <t>n=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</si>
  <si>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</si>
  <si>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icp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</si>
  <si>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iл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</si>
  <si>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iпр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</si>
  <si>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iтр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</si>
  <si>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iпараб</t>
    </r>
  </si>
  <si>
    <t>суммы</t>
  </si>
  <si>
    <t>точное значение</t>
  </si>
  <si>
    <t>I лев</t>
  </si>
  <si>
    <t>I пр</t>
  </si>
  <si>
    <t>I сред</t>
  </si>
  <si>
    <t>I трап</t>
  </si>
  <si>
    <t>I параб</t>
  </si>
  <si>
    <t>Δл=</t>
  </si>
  <si>
    <t>Δп=</t>
  </si>
  <si>
    <t>Δс=</t>
  </si>
  <si>
    <t>Δтр=</t>
  </si>
  <si>
    <t>Δпар=</t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</si>
  <si>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л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</si>
  <si>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п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</si>
  <si>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</si>
  <si>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</si>
  <si>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пар</t>
    </r>
  </si>
  <si>
    <t>I</t>
  </si>
  <si>
    <t>xi</t>
  </si>
  <si>
    <t>xicp</t>
  </si>
  <si>
    <t>yi</t>
  </si>
  <si>
    <t>ciл</t>
  </si>
  <si>
    <t>сiпараб</t>
  </si>
  <si>
    <t>с*y лев</t>
  </si>
  <si>
    <t>с*y параб</t>
  </si>
  <si>
    <t>точное знач</t>
  </si>
  <si>
    <t>dл=</t>
  </si>
  <si>
    <t>dпар=</t>
  </si>
  <si>
    <t>ел=</t>
  </si>
  <si>
    <t>епар=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</si>
</sst>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0000"/>
    <numFmt numFmtId="168" formatCode="0.00000%"/>
    <numFmt numFmtId="173" formatCode="0.0000%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/>
    <xf numFmtId="168" fontId="0" fillId="0" borderId="1" xfId="1" applyNumberFormat="1" applyFont="1" applyBorder="1"/>
    <xf numFmtId="0" fontId="0" fillId="5" borderId="1" xfId="0" applyFill="1" applyBorder="1"/>
    <xf numFmtId="165" fontId="0" fillId="3" borderId="1" xfId="0" applyNumberFormat="1" applyFill="1" applyBorder="1"/>
    <xf numFmtId="164" fontId="0" fillId="6" borderId="1" xfId="0" applyNumberFormat="1" applyFill="1" applyBorder="1"/>
    <xf numFmtId="0" fontId="0" fillId="0" borderId="0" xfId="0" applyFill="1"/>
    <xf numFmtId="167" fontId="0" fillId="4" borderId="0" xfId="0" applyNumberFormat="1" applyFill="1"/>
    <xf numFmtId="0" fontId="3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/>
    <xf numFmtId="0" fontId="0" fillId="0" borderId="0" xfId="0" applyFill="1" applyBorder="1"/>
    <xf numFmtId="164" fontId="0" fillId="0" borderId="0" xfId="0" applyNumberFormat="1" applyFill="1" applyBorder="1"/>
    <xf numFmtId="167" fontId="0" fillId="0" borderId="0" xfId="0" applyNumberFormat="1" applyBorder="1"/>
    <xf numFmtId="0" fontId="0" fillId="0" borderId="0" xfId="0" applyFill="1" applyBorder="1" applyAlignment="1">
      <alignment horizontal="right" vertical="center"/>
    </xf>
    <xf numFmtId="168" fontId="0" fillId="0" borderId="0" xfId="1" applyNumberFormat="1" applyFont="1" applyFill="1" applyBorder="1"/>
    <xf numFmtId="0" fontId="0" fillId="0" borderId="0" xfId="0"/>
    <xf numFmtId="0" fontId="0" fillId="3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3" fontId="0" fillId="3" borderId="1" xfId="1" applyNumberFormat="1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167" fontId="0" fillId="3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167" fontId="0" fillId="0" borderId="3" xfId="0" applyNumberForma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173" fontId="0" fillId="0" borderId="0" xfId="1" applyNumberFormat="1" applyFont="1" applyFill="1" applyBorder="1" applyAlignment="1">
      <alignment horizontal="center"/>
    </xf>
    <xf numFmtId="0" fontId="0" fillId="0" borderId="0" xfId="0" applyBorder="1"/>
    <xf numFmtId="10" fontId="0" fillId="0" borderId="0" xfId="1" applyNumberFormat="1" applyFont="1" applyBorder="1"/>
    <xf numFmtId="0" fontId="3" fillId="0" borderId="0" xfId="0" applyFont="1" applyFill="1" applyBorder="1" applyAlignment="1">
      <alignment horizontal="right"/>
    </xf>
    <xf numFmtId="166" fontId="0" fillId="0" borderId="0" xfId="0" applyNumberFormat="1" applyFill="1" applyBorder="1" applyAlignment="1">
      <alignment horizontal="center" vertical="center"/>
    </xf>
    <xf numFmtId="167" fontId="0" fillId="0" borderId="0" xfId="0" applyNumberFormat="1" applyFill="1"/>
    <xf numFmtId="167" fontId="0" fillId="0" borderId="0" xfId="0" applyNumberForma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219075</xdr:colOff>
      <xdr:row>7</xdr:row>
      <xdr:rowOff>76200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00" y="762000"/>
          <a:ext cx="3267075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21</xdr:row>
      <xdr:rowOff>1</xdr:rowOff>
    </xdr:from>
    <xdr:to>
      <xdr:col>15</xdr:col>
      <xdr:colOff>438150</xdr:colOff>
      <xdr:row>48</xdr:row>
      <xdr:rowOff>146173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038601"/>
          <a:ext cx="9734550" cy="53277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297180</xdr:colOff>
      <xdr:row>4</xdr:row>
      <xdr:rowOff>7620</xdr:rowOff>
    </xdr:from>
    <xdr:to>
      <xdr:col>12</xdr:col>
      <xdr:colOff>516255</xdr:colOff>
      <xdr:row>7</xdr:row>
      <xdr:rowOff>140536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BFC224F-52E8-4329-B5C6-F1171F283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04460" y="739140"/>
          <a:ext cx="2657475" cy="6815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J16" sqref="J16"/>
    </sheetView>
  </sheetViews>
  <sheetFormatPr defaultRowHeight="14.4" x14ac:dyDescent="0.3"/>
  <cols>
    <col min="10" max="11" width="9.5546875" bestFit="1" customWidth="1"/>
    <col min="12" max="12" width="9.6640625" bestFit="1" customWidth="1"/>
    <col min="13" max="14" width="9.5546875" bestFit="1" customWidth="1"/>
  </cols>
  <sheetData>
    <row r="1" spans="1:18" ht="15.6" x14ac:dyDescent="0.3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P1" s="6" t="s">
        <v>8</v>
      </c>
      <c r="Q1" s="7">
        <f>(Q3-Q2)/Q4</f>
        <v>0.1</v>
      </c>
    </row>
    <row r="2" spans="1:18" x14ac:dyDescent="0.3">
      <c r="A2" s="3">
        <v>0</v>
      </c>
      <c r="B2" s="3">
        <f>$Q$2</f>
        <v>0.8</v>
      </c>
      <c r="C2" s="3">
        <f>B2+$Q$1/2</f>
        <v>0.85000000000000009</v>
      </c>
      <c r="D2" s="4">
        <f>SQRT(0.8*(B2^2)+1)/(B2+SQRT(1.5*(B2^2)+2))</f>
        <v>0.48786000434811372</v>
      </c>
      <c r="E2" s="4">
        <f>SQRT(0.8*(C2^2)+1)/(C2+SQRT(1.5*(C2^2)+2))</f>
        <v>0.48202430109928929</v>
      </c>
      <c r="F2" s="3">
        <v>1</v>
      </c>
      <c r="G2" s="3">
        <v>0</v>
      </c>
      <c r="H2" s="3">
        <v>0.5</v>
      </c>
      <c r="I2" s="5">
        <v>0.33333333333333331</v>
      </c>
      <c r="J2" s="4">
        <f>F2*D2</f>
        <v>0.48786000434811372</v>
      </c>
      <c r="K2" s="4">
        <f>G2*D2</f>
        <v>0</v>
      </c>
      <c r="L2" s="4">
        <f>F2*E2</f>
        <v>0.48202430109928929</v>
      </c>
      <c r="M2" s="4">
        <f>H2*D2</f>
        <v>0.24393000217405686</v>
      </c>
      <c r="N2" s="4">
        <f>I2*D2</f>
        <v>0.16262000144937122</v>
      </c>
      <c r="P2" s="6" t="s">
        <v>9</v>
      </c>
      <c r="Q2" s="7">
        <v>0.8</v>
      </c>
    </row>
    <row r="3" spans="1:18" x14ac:dyDescent="0.3">
      <c r="A3" s="3">
        <v>1</v>
      </c>
      <c r="B3" s="3">
        <f>B2+$Q$1</f>
        <v>0.9</v>
      </c>
      <c r="C3" s="3">
        <f t="shared" ref="C3:C12" si="0">B3+$Q$1/2</f>
        <v>0.95000000000000007</v>
      </c>
      <c r="D3" s="4">
        <f t="shared" ref="D3:E12" si="1">SQRT(0.8*(B3^2)+1)/(B3+SQRT(1.5*(B3^2)+2))</f>
        <v>0.47668936152094671</v>
      </c>
      <c r="E3" s="4">
        <f t="shared" si="1"/>
        <v>0.47180755141179753</v>
      </c>
      <c r="F3" s="3">
        <v>1</v>
      </c>
      <c r="G3" s="3">
        <v>1</v>
      </c>
      <c r="H3" s="3">
        <v>1</v>
      </c>
      <c r="I3" s="5">
        <v>1.3333333333333333</v>
      </c>
      <c r="J3" s="4">
        <f t="shared" ref="J3:J12" si="2">F3*D3</f>
        <v>0.47668936152094671</v>
      </c>
      <c r="K3" s="4">
        <f t="shared" ref="K3:K12" si="3">G3*D3</f>
        <v>0.47668936152094671</v>
      </c>
      <c r="L3" s="4">
        <f t="shared" ref="L3:L12" si="4">F3*E3</f>
        <v>0.47180755141179753</v>
      </c>
      <c r="M3" s="4">
        <f t="shared" ref="M3:M12" si="5">H3*D3</f>
        <v>0.47668936152094671</v>
      </c>
      <c r="N3" s="4">
        <f t="shared" ref="N3:N12" si="6">I3*D3</f>
        <v>0.63558581536126224</v>
      </c>
      <c r="P3" s="6" t="s">
        <v>10</v>
      </c>
      <c r="Q3" s="7">
        <v>1.8</v>
      </c>
    </row>
    <row r="4" spans="1:18" x14ac:dyDescent="0.3">
      <c r="A4" s="3">
        <v>2</v>
      </c>
      <c r="B4" s="3">
        <f t="shared" ref="B4:B12" si="7">B3+$Q$1</f>
        <v>1</v>
      </c>
      <c r="C4" s="3">
        <f t="shared" si="0"/>
        <v>1.05</v>
      </c>
      <c r="D4" s="4">
        <f t="shared" si="1"/>
        <v>0.4673357172409412</v>
      </c>
      <c r="E4" s="4">
        <f t="shared" si="1"/>
        <v>0.46323485311558132</v>
      </c>
      <c r="F4" s="3">
        <v>1</v>
      </c>
      <c r="G4" s="3">
        <v>1</v>
      </c>
      <c r="H4" s="3">
        <v>1</v>
      </c>
      <c r="I4" s="5">
        <v>0.66666666666666663</v>
      </c>
      <c r="J4" s="4">
        <f t="shared" si="2"/>
        <v>0.4673357172409412</v>
      </c>
      <c r="K4" s="4">
        <f t="shared" si="3"/>
        <v>0.4673357172409412</v>
      </c>
      <c r="L4" s="4">
        <f t="shared" si="4"/>
        <v>0.46323485311558132</v>
      </c>
      <c r="M4" s="4">
        <f t="shared" si="5"/>
        <v>0.4673357172409412</v>
      </c>
      <c r="N4" s="4">
        <f t="shared" si="6"/>
        <v>0.31155714482729413</v>
      </c>
      <c r="P4" s="6" t="s">
        <v>11</v>
      </c>
      <c r="Q4" s="7">
        <v>10</v>
      </c>
    </row>
    <row r="5" spans="1:18" x14ac:dyDescent="0.3">
      <c r="A5" s="3">
        <v>3</v>
      </c>
      <c r="B5" s="3">
        <f t="shared" si="7"/>
        <v>1.1000000000000001</v>
      </c>
      <c r="C5" s="3">
        <f t="shared" si="0"/>
        <v>1.1500000000000001</v>
      </c>
      <c r="D5" s="4">
        <f t="shared" si="1"/>
        <v>0.45946976463122485</v>
      </c>
      <c r="E5" s="4">
        <f t="shared" si="1"/>
        <v>0.45600873906338063</v>
      </c>
      <c r="F5" s="3">
        <v>1</v>
      </c>
      <c r="G5" s="3">
        <v>1</v>
      </c>
      <c r="H5" s="3">
        <v>1</v>
      </c>
      <c r="I5" s="5">
        <v>1.3333333333333333</v>
      </c>
      <c r="J5" s="4">
        <f t="shared" si="2"/>
        <v>0.45946976463122485</v>
      </c>
      <c r="K5" s="4">
        <f t="shared" si="3"/>
        <v>0.45946976463122485</v>
      </c>
      <c r="L5" s="4">
        <f t="shared" si="4"/>
        <v>0.45600873906338063</v>
      </c>
      <c r="M5" s="4">
        <f t="shared" si="5"/>
        <v>0.45946976463122485</v>
      </c>
      <c r="N5" s="4">
        <f t="shared" si="6"/>
        <v>0.61262635284163314</v>
      </c>
    </row>
    <row r="6" spans="1:18" x14ac:dyDescent="0.3">
      <c r="A6" s="3">
        <v>4</v>
      </c>
      <c r="B6" s="3">
        <f t="shared" si="7"/>
        <v>1.2000000000000002</v>
      </c>
      <c r="C6" s="3">
        <f t="shared" si="0"/>
        <v>1.2500000000000002</v>
      </c>
      <c r="D6" s="4">
        <f t="shared" si="1"/>
        <v>0.452823228543075</v>
      </c>
      <c r="E6" s="4">
        <f t="shared" si="1"/>
        <v>0.44988755059773483</v>
      </c>
      <c r="F6" s="3">
        <v>1</v>
      </c>
      <c r="G6" s="3">
        <v>1</v>
      </c>
      <c r="H6" s="3">
        <v>1</v>
      </c>
      <c r="I6" s="5">
        <v>0.66666666666666663</v>
      </c>
      <c r="J6" s="4">
        <f t="shared" si="2"/>
        <v>0.452823228543075</v>
      </c>
      <c r="K6" s="4">
        <f t="shared" si="3"/>
        <v>0.452823228543075</v>
      </c>
      <c r="L6" s="4">
        <f t="shared" si="4"/>
        <v>0.44988755059773483</v>
      </c>
      <c r="M6" s="4">
        <f t="shared" si="5"/>
        <v>0.452823228543075</v>
      </c>
      <c r="N6" s="4">
        <f t="shared" si="6"/>
        <v>0.30188215236204996</v>
      </c>
    </row>
    <row r="7" spans="1:18" x14ac:dyDescent="0.3">
      <c r="A7" s="3">
        <v>5</v>
      </c>
      <c r="B7" s="3">
        <f t="shared" si="7"/>
        <v>1.3000000000000003</v>
      </c>
      <c r="C7" s="3">
        <f t="shared" si="0"/>
        <v>1.3500000000000003</v>
      </c>
      <c r="D7" s="4">
        <f t="shared" si="1"/>
        <v>0.44717860867596482</v>
      </c>
      <c r="E7" s="4">
        <f t="shared" si="1"/>
        <v>0.44467563393868592</v>
      </c>
      <c r="F7" s="3">
        <v>1</v>
      </c>
      <c r="G7" s="3">
        <v>1</v>
      </c>
      <c r="H7" s="3">
        <v>1</v>
      </c>
      <c r="I7" s="5">
        <v>1.3333333333333333</v>
      </c>
      <c r="J7" s="4">
        <f t="shared" si="2"/>
        <v>0.44717860867596482</v>
      </c>
      <c r="K7" s="4">
        <f t="shared" si="3"/>
        <v>0.44717860867596482</v>
      </c>
      <c r="L7" s="4">
        <f t="shared" si="4"/>
        <v>0.44467563393868592</v>
      </c>
      <c r="M7" s="4">
        <f t="shared" si="5"/>
        <v>0.44717860867596482</v>
      </c>
      <c r="N7" s="4">
        <f t="shared" si="6"/>
        <v>0.59623814490128635</v>
      </c>
    </row>
    <row r="8" spans="1:18" x14ac:dyDescent="0.3">
      <c r="A8" s="3">
        <v>6</v>
      </c>
      <c r="B8" s="3">
        <f t="shared" si="7"/>
        <v>1.4000000000000004</v>
      </c>
      <c r="C8" s="3">
        <f t="shared" si="0"/>
        <v>1.4500000000000004</v>
      </c>
      <c r="D8" s="4">
        <f t="shared" si="1"/>
        <v>0.44235994861706029</v>
      </c>
      <c r="E8" s="4">
        <f t="shared" si="1"/>
        <v>0.44021475054088954</v>
      </c>
      <c r="F8" s="3">
        <v>1</v>
      </c>
      <c r="G8" s="3">
        <v>1</v>
      </c>
      <c r="H8" s="3">
        <v>1</v>
      </c>
      <c r="I8" s="5">
        <v>0.66666666666666663</v>
      </c>
      <c r="J8" s="4">
        <f t="shared" si="2"/>
        <v>0.44235994861706029</v>
      </c>
      <c r="K8" s="4">
        <f t="shared" si="3"/>
        <v>0.44235994861706029</v>
      </c>
      <c r="L8" s="4">
        <f t="shared" si="4"/>
        <v>0.44021475054088954</v>
      </c>
      <c r="M8" s="4">
        <f t="shared" si="5"/>
        <v>0.44235994861706029</v>
      </c>
      <c r="N8" s="4">
        <f t="shared" si="6"/>
        <v>0.29490663241137349</v>
      </c>
    </row>
    <row r="9" spans="1:18" x14ac:dyDescent="0.3">
      <c r="A9" s="3">
        <v>7</v>
      </c>
      <c r="B9" s="3">
        <f t="shared" si="7"/>
        <v>1.5000000000000004</v>
      </c>
      <c r="C9" s="3">
        <f t="shared" si="0"/>
        <v>1.5500000000000005</v>
      </c>
      <c r="D9" s="4">
        <f t="shared" si="1"/>
        <v>0.43822491796862012</v>
      </c>
      <c r="E9" s="4">
        <f t="shared" si="1"/>
        <v>0.43637683354959006</v>
      </c>
      <c r="F9" s="3">
        <v>1</v>
      </c>
      <c r="G9" s="3">
        <v>1</v>
      </c>
      <c r="H9" s="3">
        <v>1</v>
      </c>
      <c r="I9" s="5">
        <v>1.3333333333333333</v>
      </c>
      <c r="J9" s="4">
        <f t="shared" si="2"/>
        <v>0.43822491796862012</v>
      </c>
      <c r="K9" s="4">
        <f t="shared" si="3"/>
        <v>0.43822491796862012</v>
      </c>
      <c r="L9" s="4">
        <f t="shared" si="4"/>
        <v>0.43637683354959006</v>
      </c>
      <c r="M9" s="4">
        <f t="shared" si="5"/>
        <v>0.43822491796862012</v>
      </c>
      <c r="N9" s="4">
        <f t="shared" si="6"/>
        <v>0.58429989062482679</v>
      </c>
      <c r="P9" s="13" t="s">
        <v>19</v>
      </c>
      <c r="Q9" s="13"/>
      <c r="R9" s="14">
        <v>0.45078654034270299</v>
      </c>
    </row>
    <row r="10" spans="1:18" x14ac:dyDescent="0.3">
      <c r="A10" s="3">
        <v>8</v>
      </c>
      <c r="B10" s="3">
        <f t="shared" si="7"/>
        <v>1.6000000000000005</v>
      </c>
      <c r="C10" s="3">
        <f t="shared" si="0"/>
        <v>1.6500000000000006</v>
      </c>
      <c r="D10" s="4">
        <f t="shared" si="1"/>
        <v>0.43465822607762855</v>
      </c>
      <c r="E10" s="4">
        <f t="shared" si="1"/>
        <v>0.43305802861789516</v>
      </c>
      <c r="F10" s="3">
        <v>1</v>
      </c>
      <c r="G10" s="3">
        <v>1</v>
      </c>
      <c r="H10" s="3">
        <v>1</v>
      </c>
      <c r="I10" s="5">
        <v>0.66666666666666663</v>
      </c>
      <c r="J10" s="4">
        <f t="shared" si="2"/>
        <v>0.43465822607762855</v>
      </c>
      <c r="K10" s="4">
        <f t="shared" si="3"/>
        <v>0.43465822607762855</v>
      </c>
      <c r="L10" s="4">
        <f t="shared" si="4"/>
        <v>0.43305802861789516</v>
      </c>
      <c r="M10" s="4">
        <f t="shared" si="5"/>
        <v>0.43465822607762855</v>
      </c>
      <c r="N10" s="4">
        <f t="shared" si="6"/>
        <v>0.289772150718419</v>
      </c>
    </row>
    <row r="11" spans="1:18" x14ac:dyDescent="0.3">
      <c r="A11" s="3">
        <v>9</v>
      </c>
      <c r="B11" s="3">
        <f t="shared" si="7"/>
        <v>1.7000000000000006</v>
      </c>
      <c r="C11" s="3">
        <f t="shared" si="0"/>
        <v>1.7500000000000007</v>
      </c>
      <c r="D11" s="4">
        <f t="shared" si="1"/>
        <v>0.43156625157863887</v>
      </c>
      <c r="E11" s="4">
        <f t="shared" si="1"/>
        <v>0.4301738693353101</v>
      </c>
      <c r="F11" s="3">
        <v>1</v>
      </c>
      <c r="G11" s="3">
        <v>1</v>
      </c>
      <c r="H11" s="3">
        <v>1</v>
      </c>
      <c r="I11" s="5">
        <v>1.3333333333333333</v>
      </c>
      <c r="J11" s="4">
        <f t="shared" si="2"/>
        <v>0.43156625157863887</v>
      </c>
      <c r="K11" s="4">
        <f t="shared" si="3"/>
        <v>0.43156625157863887</v>
      </c>
      <c r="L11" s="4">
        <f t="shared" si="4"/>
        <v>0.4301738693353101</v>
      </c>
      <c r="M11" s="4">
        <f t="shared" si="5"/>
        <v>0.43156625157863887</v>
      </c>
      <c r="N11" s="4">
        <f t="shared" si="6"/>
        <v>0.57542166877151846</v>
      </c>
      <c r="Q11" s="15" t="s">
        <v>25</v>
      </c>
      <c r="R11" s="8">
        <f>ABS(J16-R9)</f>
        <v>3.0300625775184775E-3</v>
      </c>
    </row>
    <row r="12" spans="1:18" x14ac:dyDescent="0.3">
      <c r="A12" s="3">
        <v>10</v>
      </c>
      <c r="B12" s="3">
        <f t="shared" si="7"/>
        <v>1.8000000000000007</v>
      </c>
      <c r="C12" s="3">
        <f t="shared" si="0"/>
        <v>1.8500000000000008</v>
      </c>
      <c r="D12" s="4">
        <f t="shared" si="1"/>
        <v>0.42887271908024582</v>
      </c>
      <c r="E12" s="4">
        <f t="shared" si="1"/>
        <v>0.42765541065515816</v>
      </c>
      <c r="F12" s="3">
        <v>0</v>
      </c>
      <c r="G12" s="3">
        <v>1</v>
      </c>
      <c r="H12" s="3">
        <v>0.5</v>
      </c>
      <c r="I12" s="5">
        <v>0.33333333333333331</v>
      </c>
      <c r="J12" s="4">
        <f t="shared" si="2"/>
        <v>0</v>
      </c>
      <c r="K12" s="4">
        <f t="shared" si="3"/>
        <v>0.42887271908024582</v>
      </c>
      <c r="L12" s="4">
        <f t="shared" si="4"/>
        <v>0</v>
      </c>
      <c r="M12" s="4">
        <f t="shared" si="5"/>
        <v>0.21443635954012291</v>
      </c>
      <c r="N12" s="4">
        <f t="shared" si="6"/>
        <v>0.14295757302674861</v>
      </c>
      <c r="Q12" s="16" t="s">
        <v>26</v>
      </c>
      <c r="R12" s="8">
        <f>ABS(K16-R9)</f>
        <v>2.8686659492683231E-3</v>
      </c>
    </row>
    <row r="13" spans="1:18" x14ac:dyDescent="0.3">
      <c r="I13" s="10" t="s">
        <v>18</v>
      </c>
      <c r="J13" s="11">
        <f>SUM(J2:J12)</f>
        <v>4.5381660292022143</v>
      </c>
      <c r="K13" s="11">
        <f t="shared" ref="K13:N13" si="8">SUM(K2:K12)</f>
        <v>4.4791787439343462</v>
      </c>
      <c r="L13" s="11">
        <f t="shared" si="8"/>
        <v>4.5074621112701552</v>
      </c>
      <c r="M13" s="11">
        <f t="shared" si="8"/>
        <v>4.5086723865682803</v>
      </c>
      <c r="N13" s="11">
        <f t="shared" si="8"/>
        <v>4.5078675272957831</v>
      </c>
      <c r="Q13" s="16" t="s">
        <v>27</v>
      </c>
      <c r="R13" s="8">
        <f>ABS(L16-R9)</f>
        <v>4.0329215687473496E-5</v>
      </c>
    </row>
    <row r="14" spans="1:18" x14ac:dyDescent="0.3">
      <c r="Q14" s="16" t="s">
        <v>28</v>
      </c>
      <c r="R14" s="8">
        <f>ABS(M16-R9)</f>
        <v>8.0698314125049464E-5</v>
      </c>
    </row>
    <row r="15" spans="1:18" x14ac:dyDescent="0.3"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  <c r="Q15" s="16" t="s">
        <v>29</v>
      </c>
      <c r="R15" s="8">
        <f>ABS(N16-R9)</f>
        <v>2.1238687536451195E-7</v>
      </c>
    </row>
    <row r="16" spans="1:18" x14ac:dyDescent="0.3">
      <c r="J16" s="12">
        <f>J13*$Q$1</f>
        <v>0.45381660292022147</v>
      </c>
      <c r="K16" s="12">
        <f t="shared" ref="K16:N16" si="9">K13*$Q$1</f>
        <v>0.44791787439343467</v>
      </c>
      <c r="L16" s="12">
        <f t="shared" si="9"/>
        <v>0.45074621112701552</v>
      </c>
      <c r="M16" s="12">
        <f t="shared" si="9"/>
        <v>0.45086723865682804</v>
      </c>
      <c r="N16" s="12">
        <f t="shared" si="9"/>
        <v>0.45078675272957835</v>
      </c>
    </row>
    <row r="18" spans="17:18" ht="15.6" x14ac:dyDescent="0.3">
      <c r="Q18" s="17" t="s">
        <v>30</v>
      </c>
      <c r="R18" s="9">
        <f>R11/$R$9</f>
        <v>6.7217237125467913E-3</v>
      </c>
    </row>
    <row r="19" spans="17:18" ht="15.6" x14ac:dyDescent="0.3">
      <c r="Q19" s="17" t="s">
        <v>31</v>
      </c>
      <c r="R19" s="9">
        <f t="shared" ref="R19:R22" si="10">R12/$R$9</f>
        <v>6.3636903335389456E-3</v>
      </c>
    </row>
    <row r="20" spans="17:18" ht="15.6" x14ac:dyDescent="0.3">
      <c r="Q20" s="17" t="s">
        <v>32</v>
      </c>
      <c r="R20" s="9">
        <f t="shared" si="10"/>
        <v>8.9464107905293447E-5</v>
      </c>
    </row>
    <row r="21" spans="17:18" ht="15.6" x14ac:dyDescent="0.3">
      <c r="Q21" s="17" t="s">
        <v>33</v>
      </c>
      <c r="R21" s="9">
        <f t="shared" si="10"/>
        <v>1.790166895038612E-4</v>
      </c>
    </row>
    <row r="22" spans="17:18" ht="15.6" x14ac:dyDescent="0.3">
      <c r="Q22" s="17" t="s">
        <v>34</v>
      </c>
      <c r="R22" s="9">
        <f t="shared" si="10"/>
        <v>4.711473310694866E-7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tabSelected="1" topLeftCell="C1" workbookViewId="0">
      <selection activeCell="E1" sqref="E1"/>
    </sheetView>
  </sheetViews>
  <sheetFormatPr defaultRowHeight="14.4" x14ac:dyDescent="0.3"/>
  <cols>
    <col min="7" max="7" width="9.33203125" bestFit="1" customWidth="1"/>
    <col min="17" max="17" width="6.44140625" bestFit="1" customWidth="1"/>
    <col min="18" max="18" width="8.109375" bestFit="1" customWidth="1"/>
  </cols>
  <sheetData>
    <row r="1" spans="1:20" x14ac:dyDescent="0.3">
      <c r="A1" s="31" t="s">
        <v>35</v>
      </c>
      <c r="B1" s="31" t="s">
        <v>36</v>
      </c>
      <c r="C1" s="31" t="s">
        <v>37</v>
      </c>
      <c r="D1" s="31" t="s">
        <v>38</v>
      </c>
      <c r="E1" s="31" t="s">
        <v>39</v>
      </c>
      <c r="F1" s="31" t="s">
        <v>40</v>
      </c>
      <c r="G1" s="31" t="s">
        <v>41</v>
      </c>
      <c r="H1" s="31" t="s">
        <v>42</v>
      </c>
      <c r="I1" s="32"/>
      <c r="J1" s="30" t="s">
        <v>8</v>
      </c>
      <c r="K1" s="33">
        <v>0.05</v>
      </c>
      <c r="L1" s="32"/>
      <c r="M1" s="18"/>
      <c r="N1" s="18"/>
      <c r="O1" s="13"/>
      <c r="P1" s="48"/>
      <c r="Q1" s="19"/>
      <c r="R1" s="13"/>
      <c r="S1" s="13"/>
      <c r="T1" s="13"/>
    </row>
    <row r="2" spans="1:20" x14ac:dyDescent="0.3">
      <c r="A2" s="33">
        <v>0</v>
      </c>
      <c r="B2" s="34">
        <v>0.8</v>
      </c>
      <c r="C2" s="34">
        <v>0.82500000000000007</v>
      </c>
      <c r="D2" s="34">
        <v>0.48786000434811372</v>
      </c>
      <c r="E2" s="35">
        <v>1</v>
      </c>
      <c r="F2" s="36">
        <v>0.33333333333333331</v>
      </c>
      <c r="G2" s="34">
        <v>0.48786000434811372</v>
      </c>
      <c r="H2" s="34">
        <v>0.16262000144937122</v>
      </c>
      <c r="I2" s="32"/>
      <c r="J2" s="30" t="s">
        <v>9</v>
      </c>
      <c r="K2" s="33">
        <v>0.8</v>
      </c>
      <c r="L2" s="32"/>
      <c r="M2" s="20"/>
      <c r="N2" s="20"/>
      <c r="O2" s="13"/>
      <c r="P2" s="48"/>
      <c r="Q2" s="53"/>
      <c r="R2" s="13"/>
      <c r="S2" s="13"/>
      <c r="T2" s="13"/>
    </row>
    <row r="3" spans="1:20" x14ac:dyDescent="0.3">
      <c r="A3" s="33">
        <v>1</v>
      </c>
      <c r="B3" s="34">
        <v>0.85000000000000009</v>
      </c>
      <c r="C3" s="34">
        <v>0.87500000000000011</v>
      </c>
      <c r="D3" s="34">
        <v>0.48202430109928929</v>
      </c>
      <c r="E3" s="35">
        <v>1</v>
      </c>
      <c r="F3" s="36">
        <v>1.3333333333333333</v>
      </c>
      <c r="G3" s="34">
        <v>0.48202430109928929</v>
      </c>
      <c r="H3" s="34">
        <v>0.64269906813238564</v>
      </c>
      <c r="I3" s="32"/>
      <c r="J3" s="30" t="s">
        <v>10</v>
      </c>
      <c r="K3" s="33">
        <v>1.8</v>
      </c>
      <c r="L3" s="32"/>
      <c r="M3" s="20"/>
      <c r="N3" s="20"/>
      <c r="O3" s="13"/>
      <c r="P3" s="48"/>
      <c r="Q3" s="53"/>
      <c r="R3" s="13"/>
      <c r="S3" s="13"/>
      <c r="T3" s="13"/>
    </row>
    <row r="4" spans="1:20" x14ac:dyDescent="0.3">
      <c r="A4" s="33">
        <v>2</v>
      </c>
      <c r="B4" s="34">
        <v>0.90000000000000013</v>
      </c>
      <c r="C4" s="34">
        <v>0.92500000000000016</v>
      </c>
      <c r="D4" s="34">
        <v>0.47668936152094671</v>
      </c>
      <c r="E4" s="35">
        <v>1</v>
      </c>
      <c r="F4" s="36">
        <v>0.66666666666666663</v>
      </c>
      <c r="G4" s="34">
        <v>0.47668936152094671</v>
      </c>
      <c r="H4" s="34">
        <v>0.31779290768063112</v>
      </c>
      <c r="I4" s="32"/>
      <c r="J4" s="30" t="s">
        <v>11</v>
      </c>
      <c r="K4" s="33">
        <v>20</v>
      </c>
      <c r="L4" s="32"/>
      <c r="M4" s="20"/>
      <c r="N4" s="20"/>
      <c r="O4" s="13"/>
      <c r="P4" s="48"/>
      <c r="Q4" s="53"/>
      <c r="R4" s="13"/>
      <c r="S4" s="13"/>
      <c r="T4" s="13"/>
    </row>
    <row r="5" spans="1:20" x14ac:dyDescent="0.3">
      <c r="A5" s="33">
        <v>3</v>
      </c>
      <c r="B5" s="34">
        <v>0.95000000000000018</v>
      </c>
      <c r="C5" s="34">
        <v>0.9750000000000002</v>
      </c>
      <c r="D5" s="34">
        <v>0.47180755141179753</v>
      </c>
      <c r="E5" s="35">
        <v>1</v>
      </c>
      <c r="F5" s="36">
        <v>1.3333333333333333</v>
      </c>
      <c r="G5" s="34">
        <v>0.47180755141179753</v>
      </c>
      <c r="H5" s="34">
        <v>0.62907673521573004</v>
      </c>
      <c r="I5" s="32"/>
      <c r="J5" s="32"/>
      <c r="K5" s="32"/>
      <c r="L5" s="32"/>
      <c r="M5" s="20"/>
      <c r="N5" s="20"/>
      <c r="O5" s="13"/>
      <c r="P5" s="13"/>
      <c r="Q5" s="13"/>
      <c r="R5" s="13"/>
      <c r="S5" s="13"/>
      <c r="T5" s="13"/>
    </row>
    <row r="6" spans="1:20" x14ac:dyDescent="0.3">
      <c r="A6" s="33">
        <v>4</v>
      </c>
      <c r="B6" s="34">
        <v>1.0000000000000002</v>
      </c>
      <c r="C6" s="34">
        <v>1.0250000000000001</v>
      </c>
      <c r="D6" s="34">
        <v>0.46733571724094103</v>
      </c>
      <c r="E6" s="35">
        <v>1</v>
      </c>
      <c r="F6" s="36">
        <v>0.66666666666666663</v>
      </c>
      <c r="G6" s="34">
        <v>0.46733571724094103</v>
      </c>
      <c r="H6" s="34">
        <v>0.31155714482729402</v>
      </c>
      <c r="I6" s="32"/>
      <c r="J6" s="32"/>
      <c r="K6" s="32"/>
      <c r="L6" s="32"/>
      <c r="M6" s="20"/>
      <c r="N6" s="20"/>
      <c r="O6" s="13"/>
      <c r="P6" s="13"/>
      <c r="Q6" s="13"/>
      <c r="R6" s="13"/>
      <c r="S6" s="13"/>
      <c r="T6" s="13"/>
    </row>
    <row r="7" spans="1:20" x14ac:dyDescent="0.3">
      <c r="A7" s="33">
        <v>5</v>
      </c>
      <c r="B7" s="34">
        <v>1.0500000000000003</v>
      </c>
      <c r="C7" s="34">
        <v>1.0750000000000002</v>
      </c>
      <c r="D7" s="34">
        <v>0.46323485311558127</v>
      </c>
      <c r="E7" s="35">
        <v>1</v>
      </c>
      <c r="F7" s="36">
        <v>1.3333333333333333</v>
      </c>
      <c r="G7" s="34">
        <v>0.46323485311558127</v>
      </c>
      <c r="H7" s="34">
        <v>0.61764647082077495</v>
      </c>
      <c r="I7" s="32"/>
      <c r="J7" s="32"/>
      <c r="K7" s="32"/>
      <c r="L7" s="32"/>
      <c r="M7" s="20"/>
      <c r="N7" s="20"/>
      <c r="O7" s="13"/>
      <c r="P7" s="13"/>
      <c r="Q7" s="13"/>
      <c r="R7" s="13"/>
      <c r="S7" s="13"/>
      <c r="T7" s="13"/>
    </row>
    <row r="8" spans="1:20" x14ac:dyDescent="0.3">
      <c r="A8" s="33">
        <v>6</v>
      </c>
      <c r="B8" s="34">
        <v>1.1000000000000003</v>
      </c>
      <c r="C8" s="34">
        <v>1.1250000000000002</v>
      </c>
      <c r="D8" s="34">
        <v>0.45946976463122485</v>
      </c>
      <c r="E8" s="35">
        <v>1</v>
      </c>
      <c r="F8" s="36">
        <v>0.66666666666666663</v>
      </c>
      <c r="G8" s="34">
        <v>0.45946976463122485</v>
      </c>
      <c r="H8" s="34">
        <v>0.30631317642081657</v>
      </c>
      <c r="I8" s="32"/>
      <c r="J8" s="32"/>
      <c r="K8" s="32"/>
      <c r="L8" s="32"/>
      <c r="M8" s="20"/>
      <c r="N8" s="20"/>
      <c r="O8" s="13"/>
      <c r="P8" s="13"/>
      <c r="Q8" s="13"/>
      <c r="R8" s="13"/>
      <c r="S8" s="13"/>
      <c r="T8" s="13"/>
    </row>
    <row r="9" spans="1:20" x14ac:dyDescent="0.3">
      <c r="A9" s="33">
        <v>7</v>
      </c>
      <c r="B9" s="34">
        <v>1.1500000000000004</v>
      </c>
      <c r="C9" s="34">
        <v>1.1750000000000003</v>
      </c>
      <c r="D9" s="34">
        <v>0.45600873906338052</v>
      </c>
      <c r="E9" s="35">
        <v>1</v>
      </c>
      <c r="F9" s="36">
        <v>1.3333333333333333</v>
      </c>
      <c r="G9" s="34">
        <v>0.45600873906338052</v>
      </c>
      <c r="H9" s="34">
        <v>0.60801165208450736</v>
      </c>
      <c r="I9" s="32"/>
      <c r="J9" s="33" t="s">
        <v>43</v>
      </c>
      <c r="K9" s="37">
        <v>0.45079000000000002</v>
      </c>
      <c r="L9" s="32"/>
      <c r="M9" s="20"/>
      <c r="N9" s="20"/>
      <c r="O9" s="13"/>
      <c r="P9" s="13"/>
      <c r="Q9" s="13"/>
      <c r="R9" s="54"/>
      <c r="S9" s="13"/>
      <c r="T9" s="13"/>
    </row>
    <row r="10" spans="1:20" x14ac:dyDescent="0.3">
      <c r="A10" s="33">
        <v>8</v>
      </c>
      <c r="B10" s="34">
        <v>1.2000000000000004</v>
      </c>
      <c r="C10" s="34">
        <v>1.2250000000000003</v>
      </c>
      <c r="D10" s="34">
        <v>0.452823228543075</v>
      </c>
      <c r="E10" s="35">
        <v>1</v>
      </c>
      <c r="F10" s="36">
        <v>0.66666666666666663</v>
      </c>
      <c r="G10" s="34">
        <v>0.452823228543075</v>
      </c>
      <c r="H10" s="34">
        <v>0.30188215236204996</v>
      </c>
      <c r="I10" s="32"/>
      <c r="J10" s="32"/>
      <c r="K10" s="32"/>
      <c r="L10" s="32"/>
      <c r="M10" s="20"/>
      <c r="N10" s="20"/>
      <c r="O10" s="13"/>
      <c r="P10" s="13"/>
      <c r="Q10" s="22"/>
      <c r="R10" s="13"/>
      <c r="S10" s="13"/>
      <c r="T10" s="13"/>
    </row>
    <row r="11" spans="1:20" x14ac:dyDescent="0.3">
      <c r="A11" s="33">
        <v>9</v>
      </c>
      <c r="B11" s="34">
        <v>1.2500000000000004</v>
      </c>
      <c r="C11" s="34">
        <v>1.2750000000000004</v>
      </c>
      <c r="D11" s="34">
        <v>0.44988755059773483</v>
      </c>
      <c r="E11" s="35">
        <v>1</v>
      </c>
      <c r="F11" s="36">
        <v>1.3333333333333333</v>
      </c>
      <c r="G11" s="34">
        <v>0.44988755059773483</v>
      </c>
      <c r="H11" s="34">
        <v>0.59985006746364644</v>
      </c>
      <c r="I11" s="32"/>
      <c r="J11" s="32"/>
      <c r="K11" s="28" t="s">
        <v>44</v>
      </c>
      <c r="L11" s="42">
        <v>0.19507401598759749</v>
      </c>
      <c r="M11" s="20"/>
      <c r="N11" s="20"/>
      <c r="O11" s="13"/>
      <c r="P11" s="13"/>
      <c r="Q11" s="52"/>
      <c r="R11" s="55"/>
      <c r="S11" s="13"/>
      <c r="T11" s="13"/>
    </row>
    <row r="12" spans="1:20" x14ac:dyDescent="0.3">
      <c r="A12" s="33">
        <v>10</v>
      </c>
      <c r="B12" s="34">
        <v>1.3000000000000005</v>
      </c>
      <c r="C12" s="34">
        <v>1.3250000000000004</v>
      </c>
      <c r="D12" s="34">
        <v>0.44717860867596482</v>
      </c>
      <c r="E12" s="35">
        <v>1</v>
      </c>
      <c r="F12" s="36">
        <v>0.66666666666666663</v>
      </c>
      <c r="G12" s="34">
        <v>0.44717860867596482</v>
      </c>
      <c r="H12" s="34">
        <v>0.29811907245064317</v>
      </c>
      <c r="I12" s="32"/>
      <c r="J12" s="32"/>
      <c r="K12" s="45" t="s">
        <v>45</v>
      </c>
      <c r="L12" s="44">
        <v>0.21101157755460748</v>
      </c>
      <c r="M12" s="20"/>
      <c r="N12" s="20"/>
      <c r="Q12" s="48"/>
      <c r="R12" s="24"/>
    </row>
    <row r="13" spans="1:20" x14ac:dyDescent="0.3">
      <c r="A13" s="33">
        <v>11</v>
      </c>
      <c r="B13" s="34">
        <v>1.3500000000000005</v>
      </c>
      <c r="C13" s="34">
        <v>1.3750000000000004</v>
      </c>
      <c r="D13" s="34">
        <v>0.44467563393868587</v>
      </c>
      <c r="E13" s="35">
        <v>1</v>
      </c>
      <c r="F13" s="36">
        <v>1.3333333333333333</v>
      </c>
      <c r="G13" s="34">
        <v>0.44467563393868587</v>
      </c>
      <c r="H13" s="34">
        <v>0.59290084525158115</v>
      </c>
      <c r="I13" s="32"/>
      <c r="J13" s="32"/>
      <c r="K13" s="46"/>
      <c r="L13" s="47"/>
      <c r="M13" s="21"/>
      <c r="N13" s="21"/>
      <c r="Q13" s="48"/>
      <c r="R13" s="24"/>
    </row>
    <row r="14" spans="1:20" x14ac:dyDescent="0.3">
      <c r="A14" s="33">
        <v>12</v>
      </c>
      <c r="B14" s="34">
        <v>1.4000000000000006</v>
      </c>
      <c r="C14" s="34">
        <v>1.4250000000000005</v>
      </c>
      <c r="D14" s="34">
        <v>0.44235994861706029</v>
      </c>
      <c r="E14" s="35">
        <v>1</v>
      </c>
      <c r="F14" s="36">
        <v>0.66666666666666663</v>
      </c>
      <c r="G14" s="34">
        <v>0.44235994861706029</v>
      </c>
      <c r="H14" s="34">
        <v>0.29490663241137349</v>
      </c>
      <c r="I14" s="32"/>
      <c r="J14" s="32"/>
      <c r="K14" s="28" t="s">
        <v>46</v>
      </c>
      <c r="L14" s="41">
        <v>0.43273811749949531</v>
      </c>
      <c r="M14" s="22"/>
      <c r="N14" s="22"/>
      <c r="Q14" s="48"/>
      <c r="R14" s="24"/>
    </row>
    <row r="15" spans="1:20" x14ac:dyDescent="0.3">
      <c r="A15" s="33">
        <v>13</v>
      </c>
      <c r="B15" s="34">
        <v>1.4500000000000006</v>
      </c>
      <c r="C15" s="34">
        <v>1.4750000000000005</v>
      </c>
      <c r="D15" s="34">
        <v>0.44021475054088954</v>
      </c>
      <c r="E15" s="35">
        <v>1</v>
      </c>
      <c r="F15" s="36">
        <v>1.3333333333333333</v>
      </c>
      <c r="G15" s="34">
        <v>0.44021475054088954</v>
      </c>
      <c r="H15" s="34">
        <v>0.58695300072118606</v>
      </c>
      <c r="I15" s="32"/>
      <c r="J15" s="32"/>
      <c r="K15" s="43" t="s">
        <v>47</v>
      </c>
      <c r="L15" s="41">
        <v>0.46809285377805065</v>
      </c>
      <c r="M15" s="22"/>
      <c r="N15" s="22"/>
      <c r="Q15" s="48"/>
      <c r="R15" s="24"/>
    </row>
    <row r="16" spans="1:20" x14ac:dyDescent="0.3">
      <c r="A16" s="33">
        <v>14</v>
      </c>
      <c r="B16" s="34">
        <v>1.5000000000000007</v>
      </c>
      <c r="C16" s="34">
        <v>1.5250000000000006</v>
      </c>
      <c r="D16" s="34">
        <v>0.43822491796862018</v>
      </c>
      <c r="E16" s="35">
        <v>1</v>
      </c>
      <c r="F16" s="36">
        <v>0.66666666666666663</v>
      </c>
      <c r="G16" s="34">
        <v>0.43822491796862018</v>
      </c>
      <c r="H16" s="34">
        <v>0.29214994531241345</v>
      </c>
      <c r="I16" s="32"/>
      <c r="J16" s="32"/>
      <c r="K16" s="29"/>
      <c r="L16" s="32"/>
      <c r="M16" s="23"/>
      <c r="N16" s="23"/>
      <c r="Q16" s="22"/>
    </row>
    <row r="17" spans="1:18" x14ac:dyDescent="0.3">
      <c r="A17" s="33">
        <v>15</v>
      </c>
      <c r="B17" s="34">
        <v>1.5500000000000007</v>
      </c>
      <c r="C17" s="34">
        <v>1.5750000000000006</v>
      </c>
      <c r="D17" s="34">
        <v>0.43637683354959</v>
      </c>
      <c r="E17" s="35">
        <v>1</v>
      </c>
      <c r="F17" s="36">
        <v>1.3333333333333333</v>
      </c>
      <c r="G17" s="34">
        <v>0.43637683354959</v>
      </c>
      <c r="H17" s="34">
        <v>0.58183577806611997</v>
      </c>
      <c r="I17" s="32"/>
      <c r="J17" s="32"/>
      <c r="K17" s="29"/>
      <c r="L17" s="32"/>
      <c r="M17" s="22"/>
      <c r="N17" s="22"/>
      <c r="Q17" s="22"/>
    </row>
    <row r="18" spans="1:18" x14ac:dyDescent="0.3">
      <c r="A18" s="33">
        <v>16</v>
      </c>
      <c r="B18" s="34">
        <v>1.6000000000000008</v>
      </c>
      <c r="C18" s="34">
        <v>1.6250000000000007</v>
      </c>
      <c r="D18" s="34">
        <v>0.43465822607762861</v>
      </c>
      <c r="E18" s="35">
        <v>1</v>
      </c>
      <c r="F18" s="36">
        <v>0.66666666666666663</v>
      </c>
      <c r="G18" s="34">
        <v>0.43465822607762861</v>
      </c>
      <c r="H18" s="34">
        <v>0.28977215071841905</v>
      </c>
      <c r="I18" s="32"/>
      <c r="J18" s="32"/>
      <c r="K18" s="29"/>
      <c r="L18" s="32"/>
      <c r="M18" s="22"/>
      <c r="N18" s="22"/>
      <c r="Q18" s="25"/>
      <c r="R18" s="51"/>
    </row>
    <row r="19" spans="1:18" x14ac:dyDescent="0.3">
      <c r="A19" s="33">
        <v>17</v>
      </c>
      <c r="B19" s="34">
        <v>1.6500000000000008</v>
      </c>
      <c r="C19" s="34">
        <v>1.6750000000000007</v>
      </c>
      <c r="D19" s="34">
        <v>0.43305802861789505</v>
      </c>
      <c r="E19" s="35">
        <v>1</v>
      </c>
      <c r="F19" s="36">
        <v>1.3333333333333333</v>
      </c>
      <c r="G19" s="34">
        <v>0.43305802861789505</v>
      </c>
      <c r="H19" s="34">
        <v>0.57741070482386003</v>
      </c>
      <c r="I19" s="32"/>
      <c r="J19" s="32"/>
      <c r="K19" s="27"/>
      <c r="L19" s="27"/>
      <c r="M19" s="22"/>
      <c r="N19" s="22"/>
      <c r="Q19" s="25"/>
      <c r="R19" s="51"/>
    </row>
    <row r="20" spans="1:18" x14ac:dyDescent="0.3">
      <c r="A20" s="33">
        <v>18</v>
      </c>
      <c r="B20" s="34">
        <v>1.7000000000000008</v>
      </c>
      <c r="C20" s="34">
        <v>1.7250000000000008</v>
      </c>
      <c r="D20" s="34">
        <v>0.43156625157863893</v>
      </c>
      <c r="E20" s="35">
        <v>1</v>
      </c>
      <c r="F20" s="36">
        <v>0.66666666666666663</v>
      </c>
      <c r="G20" s="34">
        <v>0.43156625157863893</v>
      </c>
      <c r="H20" s="34">
        <v>0.28771083438575928</v>
      </c>
      <c r="I20" s="32"/>
      <c r="J20" s="32"/>
      <c r="K20" s="50"/>
      <c r="L20" s="50"/>
      <c r="M20" s="22"/>
      <c r="N20" s="22"/>
      <c r="Q20" s="25"/>
      <c r="R20" s="26"/>
    </row>
    <row r="21" spans="1:18" x14ac:dyDescent="0.3">
      <c r="A21" s="33">
        <v>19</v>
      </c>
      <c r="B21" s="34">
        <v>1.7500000000000009</v>
      </c>
      <c r="C21" s="34">
        <v>1.7750000000000008</v>
      </c>
      <c r="D21" s="34">
        <v>0.43017386933531004</v>
      </c>
      <c r="E21" s="35">
        <v>1</v>
      </c>
      <c r="F21" s="36">
        <v>1.3333333333333333</v>
      </c>
      <c r="G21" s="34">
        <v>0.43017386933531004</v>
      </c>
      <c r="H21" s="34">
        <v>0.57356515911374673</v>
      </c>
      <c r="I21" s="32"/>
      <c r="J21" s="32"/>
      <c r="K21" s="48"/>
      <c r="L21" s="49"/>
      <c r="M21" s="22"/>
      <c r="N21" s="22"/>
      <c r="Q21" s="25"/>
      <c r="R21" s="26"/>
    </row>
    <row r="22" spans="1:18" x14ac:dyDescent="0.3">
      <c r="A22" s="33">
        <v>20</v>
      </c>
      <c r="B22" s="34">
        <v>1.8000000000000009</v>
      </c>
      <c r="C22" s="34">
        <v>1.8250000000000008</v>
      </c>
      <c r="D22" s="34">
        <v>0.42887271908024577</v>
      </c>
      <c r="E22" s="33">
        <v>0</v>
      </c>
      <c r="F22" s="36">
        <v>0.33333333333333331</v>
      </c>
      <c r="G22" s="34">
        <v>0</v>
      </c>
      <c r="H22" s="34">
        <v>0.14295757302674858</v>
      </c>
      <c r="I22" s="32"/>
      <c r="J22" s="32"/>
      <c r="K22" s="48"/>
      <c r="L22" s="49"/>
      <c r="Q22" s="25"/>
      <c r="R22" s="26"/>
    </row>
    <row r="23" spans="1:18" x14ac:dyDescent="0.3">
      <c r="A23" s="32"/>
      <c r="B23" s="32"/>
      <c r="C23" s="32"/>
      <c r="D23" s="32"/>
      <c r="E23" s="32"/>
      <c r="F23" s="38" t="s">
        <v>18</v>
      </c>
      <c r="G23" s="39">
        <v>5.1143196802480499</v>
      </c>
      <c r="H23" s="39">
        <v>4.7955684489078507</v>
      </c>
      <c r="I23" s="32"/>
      <c r="J23" s="32"/>
      <c r="K23" s="27"/>
      <c r="L23" s="27"/>
    </row>
    <row r="25" spans="1:18" x14ac:dyDescent="0.3">
      <c r="A25" s="27"/>
      <c r="B25" s="27"/>
      <c r="C25" s="27"/>
      <c r="D25" s="27"/>
      <c r="E25" s="27"/>
      <c r="F25" s="32"/>
      <c r="G25" s="32" t="s">
        <v>20</v>
      </c>
      <c r="H25" s="32" t="s">
        <v>24</v>
      </c>
      <c r="I25" s="27"/>
      <c r="J25" s="27"/>
      <c r="K25" s="27"/>
      <c r="L25" s="27"/>
    </row>
    <row r="26" spans="1:18" x14ac:dyDescent="0.3">
      <c r="A26" s="27"/>
      <c r="B26" s="27"/>
      <c r="C26" s="27"/>
      <c r="D26" s="27"/>
      <c r="E26" s="27"/>
      <c r="F26" s="32"/>
      <c r="G26" s="40">
        <v>0.25571598401240253</v>
      </c>
      <c r="H26" s="40">
        <v>0.23977842244539255</v>
      </c>
      <c r="I26" s="27"/>
      <c r="J26" s="27"/>
      <c r="K26" s="27"/>
      <c r="L26" s="2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10</vt:lpstr>
      <vt:lpstr>20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Власов Вячеслав</cp:lastModifiedBy>
  <dcterms:created xsi:type="dcterms:W3CDTF">2025-11-20T05:38:39Z</dcterms:created>
  <dcterms:modified xsi:type="dcterms:W3CDTF">2025-12-01T20:22:13Z</dcterms:modified>
</cp:coreProperties>
</file>