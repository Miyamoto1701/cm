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7B825321-92E1-4D37-BCF5-1DA5E5FEDBEC}" xr6:coauthVersionLast="47" xr6:coauthVersionMax="47" xr10:uidLastSave="{00000000-0000-0000-0000-000000000000}"/>
  <bookViews>
    <workbookView xWindow="1920" yWindow="1920" windowWidth="17280" windowHeight="9420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A9" i="2"/>
  <c r="B9" i="2" s="1"/>
  <c r="A9" i="1"/>
  <c r="C10" i="1" s="1"/>
  <c r="C9" i="1"/>
  <c r="D9" i="2" l="1"/>
  <c r="B10" i="1"/>
  <c r="C9" i="2"/>
  <c r="A10" i="2" s="1"/>
  <c r="B10" i="2" s="1"/>
  <c r="E10" i="2" s="1"/>
  <c r="A10" i="1"/>
  <c r="C11" i="1" s="1"/>
  <c r="F9" i="1"/>
  <c r="A11" i="1"/>
  <c r="F10" i="1"/>
  <c r="E9" i="1"/>
  <c r="D9" i="1"/>
  <c r="D10" i="2" l="1"/>
  <c r="C10" i="2"/>
  <c r="B11" i="1"/>
  <c r="C12" i="1" s="1"/>
  <c r="B12" i="1"/>
  <c r="A13" i="1" s="1"/>
  <c r="D10" i="1"/>
  <c r="G10" i="1" s="1"/>
  <c r="G9" i="1"/>
  <c r="E10" i="1"/>
  <c r="F11" i="1"/>
  <c r="A12" i="1" l="1"/>
  <c r="B13" i="1" s="1"/>
  <c r="E11" i="1"/>
  <c r="F10" i="2"/>
  <c r="G10" i="2" s="1"/>
  <c r="A11" i="2"/>
  <c r="C13" i="1"/>
  <c r="B14" i="1" s="1"/>
  <c r="C14" i="1"/>
  <c r="D12" i="1"/>
  <c r="F12" i="1"/>
  <c r="D11" i="1"/>
  <c r="G11" i="1" s="1"/>
  <c r="A14" i="1" l="1"/>
  <c r="B11" i="2"/>
  <c r="D11" i="2"/>
  <c r="A15" i="1"/>
  <c r="C15" i="1"/>
  <c r="B15" i="1"/>
  <c r="E12" i="1"/>
  <c r="G12" i="1" s="1"/>
  <c r="F13" i="1"/>
  <c r="E11" i="2" l="1"/>
  <c r="C11" i="2"/>
  <c r="F11" i="2" s="1"/>
  <c r="G11" i="2" s="1"/>
  <c r="B16" i="1"/>
  <c r="A16" i="1"/>
  <c r="C16" i="1"/>
  <c r="A17" i="1" s="1"/>
  <c r="D14" i="1"/>
  <c r="E13" i="1"/>
  <c r="F14" i="1"/>
  <c r="D13" i="1"/>
  <c r="G13" i="1" s="1"/>
  <c r="A12" i="2" l="1"/>
  <c r="B12" i="2"/>
  <c r="E12" i="2" s="1"/>
  <c r="D12" i="2"/>
  <c r="C12" i="2"/>
  <c r="F12" i="2" s="1"/>
  <c r="G12" i="2" s="1"/>
  <c r="C17" i="1"/>
  <c r="B18" i="1" s="1"/>
  <c r="B17" i="1"/>
  <c r="E14" i="1"/>
  <c r="G14" i="1" s="1"/>
  <c r="F15" i="1"/>
  <c r="E18" i="1" l="1"/>
  <c r="A18" i="1"/>
  <c r="C18" i="1"/>
  <c r="F18" i="1" s="1"/>
  <c r="A13" i="2"/>
  <c r="B13" i="2"/>
  <c r="C13" i="2" s="1"/>
  <c r="F13" i="2" s="1"/>
  <c r="D13" i="2"/>
  <c r="D16" i="1"/>
  <c r="E15" i="1"/>
  <c r="F16" i="1"/>
  <c r="D15" i="1"/>
  <c r="D18" i="1" l="1"/>
  <c r="G18" i="1" s="1"/>
  <c r="C19" i="1"/>
  <c r="F19" i="1" s="1"/>
  <c r="B19" i="1"/>
  <c r="A19" i="1"/>
  <c r="E13" i="2"/>
  <c r="G13" i="2" s="1"/>
  <c r="A14" i="2"/>
  <c r="G15" i="1"/>
  <c r="E17" i="1"/>
  <c r="E16" i="1"/>
  <c r="G16" i="1" s="1"/>
  <c r="F17" i="1"/>
  <c r="D19" i="1" l="1"/>
  <c r="B20" i="1"/>
  <c r="C20" i="1"/>
  <c r="F20" i="1" s="1"/>
  <c r="E19" i="1"/>
  <c r="A20" i="1"/>
  <c r="B14" i="2"/>
  <c r="C14" i="2" s="1"/>
  <c r="F14" i="2" s="1"/>
  <c r="D14" i="2"/>
  <c r="D17" i="1"/>
  <c r="G17" i="1" s="1"/>
  <c r="D20" i="1" l="1"/>
  <c r="G20" i="1" s="1"/>
  <c r="B21" i="1"/>
  <c r="C21" i="1"/>
  <c r="F21" i="1" s="1"/>
  <c r="E20" i="1"/>
  <c r="A21" i="1"/>
  <c r="G19" i="1"/>
  <c r="E14" i="2"/>
  <c r="G14" i="2" s="1"/>
  <c r="B22" i="1" l="1"/>
  <c r="D21" i="1"/>
  <c r="C22" i="1"/>
  <c r="F22" i="1" s="1"/>
  <c r="E21" i="1"/>
  <c r="A22" i="1"/>
  <c r="F9" i="2"/>
  <c r="E9" i="2"/>
  <c r="G21" i="1" l="1"/>
  <c r="D22" i="1"/>
  <c r="B23" i="1"/>
  <c r="C23" i="1"/>
  <c r="F23" i="1" s="1"/>
  <c r="A23" i="1"/>
  <c r="E22" i="1"/>
  <c r="G9" i="2"/>
  <c r="E23" i="1" l="1"/>
  <c r="A24" i="1"/>
  <c r="B24" i="1"/>
  <c r="C24" i="1"/>
  <c r="F24" i="1" s="1"/>
  <c r="D23" i="1"/>
  <c r="G23" i="1" s="1"/>
  <c r="G22" i="1"/>
  <c r="A25" i="1" l="1"/>
  <c r="E24" i="1"/>
  <c r="D24" i="1"/>
  <c r="G24" i="1" s="1"/>
  <c r="C25" i="1"/>
  <c r="F25" i="1" s="1"/>
  <c r="B25" i="1"/>
  <c r="E25" i="1" l="1"/>
  <c r="A26" i="1"/>
  <c r="B26" i="1"/>
  <c r="C26" i="1"/>
  <c r="F26" i="1" s="1"/>
  <c r="D25" i="1"/>
  <c r="G25" i="1" s="1"/>
  <c r="D26" i="1" l="1"/>
  <c r="B27" i="1"/>
  <c r="C27" i="1"/>
  <c r="F27" i="1" s="1"/>
  <c r="A27" i="1"/>
  <c r="E26" i="1"/>
  <c r="B28" i="1" l="1"/>
  <c r="D27" i="1"/>
  <c r="C28" i="1"/>
  <c r="F28" i="1" s="1"/>
  <c r="A28" i="1"/>
  <c r="E27" i="1"/>
  <c r="G26" i="1"/>
  <c r="D28" i="1" l="1"/>
  <c r="C29" i="1"/>
  <c r="F29" i="1" s="1"/>
  <c r="B29" i="1"/>
  <c r="G27" i="1"/>
  <c r="E28" i="1"/>
  <c r="A29" i="1"/>
  <c r="D29" i="1" l="1"/>
  <c r="B30" i="1"/>
  <c r="C30" i="1"/>
  <c r="F30" i="1" s="1"/>
  <c r="A30" i="1"/>
  <c r="E29" i="1"/>
  <c r="G28" i="1"/>
  <c r="D30" i="1" l="1"/>
  <c r="C31" i="1"/>
  <c r="F31" i="1" s="1"/>
  <c r="B31" i="1"/>
  <c r="A31" i="1"/>
  <c r="E30" i="1"/>
  <c r="G29" i="1"/>
  <c r="D31" i="1" l="1"/>
  <c r="B32" i="1"/>
  <c r="E32" i="1" s="1"/>
  <c r="C32" i="1"/>
  <c r="F32" i="1" s="1"/>
  <c r="E31" i="1"/>
  <c r="A32" i="1"/>
  <c r="D32" i="1" s="1"/>
  <c r="G32" i="1" s="1"/>
  <c r="G30" i="1"/>
  <c r="G31" i="1" l="1"/>
</calcChain>
</file>

<file path=xl/sharedStrings.xml><?xml version="1.0" encoding="utf-8"?>
<sst xmlns="http://schemas.openxmlformats.org/spreadsheetml/2006/main" count="26" uniqueCount="13">
  <si>
    <t>Метод простой итерации</t>
  </si>
  <si>
    <t>А</t>
  </si>
  <si>
    <t>B</t>
  </si>
  <si>
    <t>точность</t>
  </si>
  <si>
    <t>x1</t>
  </si>
  <si>
    <t>x2</t>
  </si>
  <si>
    <t>x3</t>
  </si>
  <si>
    <t>е=</t>
  </si>
  <si>
    <t>номер итерации</t>
  </si>
  <si>
    <t>d1</t>
  </si>
  <si>
    <t>d2</t>
  </si>
  <si>
    <t>d3</t>
  </si>
  <si>
    <t>Условие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</si>
</sst>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>
      <selection activeCell="A11" sqref="A11:C11"/>
    </sheetView>
  </sheetViews>
  <sheetFormatPr defaultRowHeight="14.4" x14ac:dyDescent="0.3"/>
  <cols>
    <col min="7" max="7" width="11.44140625" bestFit="1" customWidth="1"/>
    <col min="8" max="8" width="12.88671875" customWidth="1"/>
  </cols>
  <sheetData>
    <row r="1" spans="1:8" x14ac:dyDescent="0.3">
      <c r="A1" s="1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3" t="s">
        <v>1</v>
      </c>
      <c r="B2" s="13"/>
      <c r="C2" s="13"/>
      <c r="D2" s="2" t="s">
        <v>2</v>
      </c>
      <c r="E2" s="1"/>
      <c r="F2" s="1"/>
      <c r="G2" s="1"/>
      <c r="H2" s="1"/>
    </row>
    <row r="3" spans="1:8" x14ac:dyDescent="0.3">
      <c r="A3" s="3">
        <v>53</v>
      </c>
      <c r="B3" s="3">
        <v>-15</v>
      </c>
      <c r="C3" s="3">
        <v>-27</v>
      </c>
      <c r="D3" s="2">
        <v>-15</v>
      </c>
      <c r="E3" s="1"/>
      <c r="F3" s="1"/>
      <c r="G3" s="1"/>
      <c r="H3" s="1"/>
    </row>
    <row r="4" spans="1:8" x14ac:dyDescent="0.3">
      <c r="A4" s="3">
        <v>35</v>
      </c>
      <c r="B4" s="3">
        <v>-55</v>
      </c>
      <c r="C4" s="3">
        <v>11</v>
      </c>
      <c r="D4" s="2">
        <v>37</v>
      </c>
      <c r="E4" s="1"/>
      <c r="F4" s="1"/>
      <c r="G4" s="1"/>
      <c r="H4" s="1"/>
    </row>
    <row r="5" spans="1:8" x14ac:dyDescent="0.3">
      <c r="A5" s="3">
        <v>-26</v>
      </c>
      <c r="B5" s="3">
        <v>-17</v>
      </c>
      <c r="C5" s="3">
        <v>84</v>
      </c>
      <c r="D5" s="2">
        <v>31</v>
      </c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 t="s">
        <v>3</v>
      </c>
      <c r="G6" s="1"/>
      <c r="H6" s="1"/>
    </row>
    <row r="7" spans="1:8" ht="28.8" x14ac:dyDescent="0.3">
      <c r="A7" s="4" t="s">
        <v>4</v>
      </c>
      <c r="B7" s="4" t="s">
        <v>5</v>
      </c>
      <c r="C7" s="4" t="s">
        <v>6</v>
      </c>
      <c r="D7" s="5"/>
      <c r="E7" s="5"/>
      <c r="F7" s="6" t="s">
        <v>7</v>
      </c>
      <c r="G7" s="6">
        <v>0.01</v>
      </c>
      <c r="H7" s="12" t="s">
        <v>8</v>
      </c>
    </row>
    <row r="8" spans="1:8" x14ac:dyDescent="0.3">
      <c r="A8" s="5">
        <v>0</v>
      </c>
      <c r="B8" s="5">
        <v>0</v>
      </c>
      <c r="C8" s="5">
        <v>0</v>
      </c>
      <c r="D8" s="4" t="s">
        <v>9</v>
      </c>
      <c r="E8" s="4" t="s">
        <v>10</v>
      </c>
      <c r="F8" s="4" t="s">
        <v>11</v>
      </c>
      <c r="G8" s="4" t="s">
        <v>12</v>
      </c>
      <c r="H8" s="7">
        <v>0</v>
      </c>
    </row>
    <row r="9" spans="1:8" x14ac:dyDescent="0.3">
      <c r="A9" s="8">
        <f>($D$3-$B$3*B8-$C$3*C8)/$A$3</f>
        <v>-0.28301886792452829</v>
      </c>
      <c r="B9" s="8">
        <f>($D$4-$A$4*A8-$C$4*C8)/$B$4</f>
        <v>-0.67272727272727273</v>
      </c>
      <c r="C9" s="8">
        <f>($D$5-$A$5*A8-$B$5*B8)/$C$5</f>
        <v>0.36904761904761907</v>
      </c>
      <c r="D9" s="8">
        <f>ABS(A9-A8)</f>
        <v>0.28301886792452829</v>
      </c>
      <c r="E9" s="8">
        <f>ABS(B9-B8)</f>
        <v>0.67272727272727273</v>
      </c>
      <c r="F9" s="8">
        <f>ABS(C9-C8)</f>
        <v>0.36904761904761907</v>
      </c>
      <c r="G9" s="5" t="str">
        <f>IF(AND(D9&lt;$G$7,E9&lt;$G$7,F9&lt;$G$7),"выполнено","---")</f>
        <v>---</v>
      </c>
      <c r="H9" s="5">
        <v>1</v>
      </c>
    </row>
    <row r="10" spans="1:8" x14ac:dyDescent="0.3">
      <c r="A10" s="8">
        <f t="shared" ref="A10:A17" si="0">($D$3-$B$3*B9-$C$3*C9)/$A$3</f>
        <v>-0.28540798823817692</v>
      </c>
      <c r="B10" s="8">
        <f t="shared" ref="B10:B17" si="1">($D$4-$A$4*A9-$C$4*C9)/$B$4</f>
        <v>-0.77902066486972144</v>
      </c>
      <c r="C10" s="8">
        <f t="shared" ref="C10:C17" si="2">($D$5-$A$5*A9-$B$5*B9)/$C$5</f>
        <v>0.14529935473331698</v>
      </c>
      <c r="D10" s="8">
        <f t="shared" ref="D10:F17" si="3">ABS(A10-A9)</f>
        <v>2.3891203136486294E-3</v>
      </c>
      <c r="E10" s="8">
        <f t="shared" si="3"/>
        <v>0.10629339214244871</v>
      </c>
      <c r="F10" s="8">
        <f t="shared" si="3"/>
        <v>0.22374826431430209</v>
      </c>
      <c r="G10" s="5" t="str">
        <f t="shared" ref="G10:G17" si="4">IF(AND(D10&lt;$G$7,E10&lt;$G$7,F10&lt;$G$7),"выполнено","---")</f>
        <v>---</v>
      </c>
      <c r="H10" s="5">
        <v>2</v>
      </c>
    </row>
    <row r="11" spans="1:8" x14ac:dyDescent="0.3">
      <c r="A11" s="8">
        <f t="shared" si="0"/>
        <v>-0.42947598858955216</v>
      </c>
      <c r="B11" s="8">
        <f t="shared" si="1"/>
        <v>-0.8252906670230854</v>
      </c>
      <c r="C11" s="8">
        <f t="shared" si="2"/>
        <v>0.12304810717883494</v>
      </c>
      <c r="D11" s="8">
        <f t="shared" si="3"/>
        <v>0.14406800035137524</v>
      </c>
      <c r="E11" s="8">
        <f t="shared" si="3"/>
        <v>4.6270002153363965E-2</v>
      </c>
      <c r="F11" s="8">
        <f t="shared" si="3"/>
        <v>2.2251247554482045E-2</v>
      </c>
      <c r="G11" s="5" t="str">
        <f t="shared" si="4"/>
        <v>---</v>
      </c>
      <c r="H11" s="5">
        <v>3</v>
      </c>
    </row>
    <row r="12" spans="1:8" x14ac:dyDescent="0.3">
      <c r="A12" s="8">
        <f t="shared" si="0"/>
        <v>-0.453906813424863</v>
      </c>
      <c r="B12" s="8">
        <f t="shared" si="1"/>
        <v>-0.92142055312122073</v>
      </c>
      <c r="C12" s="8">
        <f t="shared" si="2"/>
        <v>6.9091463777133252E-2</v>
      </c>
      <c r="D12" s="8">
        <f t="shared" si="3"/>
        <v>2.4430824835310838E-2</v>
      </c>
      <c r="E12" s="8">
        <f t="shared" si="3"/>
        <v>9.6129886098135331E-2</v>
      </c>
      <c r="F12" s="8">
        <f t="shared" si="3"/>
        <v>5.3956643401701684E-2</v>
      </c>
      <c r="G12" s="5" t="str">
        <f t="shared" si="4"/>
        <v>---</v>
      </c>
      <c r="H12" s="5">
        <v>4</v>
      </c>
    </row>
    <row r="13" spans="1:8" x14ac:dyDescent="0.3">
      <c r="A13" s="8">
        <f t="shared" si="0"/>
        <v>-0.50860073160067376</v>
      </c>
      <c r="B13" s="8">
        <f t="shared" si="1"/>
        <v>-0.9477587703331225</v>
      </c>
      <c r="C13" s="8">
        <f t="shared" si="2"/>
        <v>4.2074683903485829E-2</v>
      </c>
      <c r="D13" s="8">
        <f t="shared" si="3"/>
        <v>5.4693918175810763E-2</v>
      </c>
      <c r="E13" s="8">
        <f t="shared" si="3"/>
        <v>2.6338217211901771E-2</v>
      </c>
      <c r="F13" s="8">
        <f t="shared" si="3"/>
        <v>2.7016779873647423E-2</v>
      </c>
      <c r="G13" s="5" t="str">
        <f t="shared" si="4"/>
        <v>---</v>
      </c>
      <c r="H13" s="5">
        <v>5</v>
      </c>
    </row>
    <row r="14" spans="1:8" x14ac:dyDescent="0.3">
      <c r="A14" s="8">
        <f t="shared" si="0"/>
        <v>-0.52981820923778711</v>
      </c>
      <c r="B14" s="8">
        <f t="shared" si="1"/>
        <v>-0.98796734696518629</v>
      </c>
      <c r="C14" s="8">
        <f t="shared" si="2"/>
        <v>1.9815260508564286E-2</v>
      </c>
      <c r="D14" s="8">
        <f t="shared" si="3"/>
        <v>2.1217477637113347E-2</v>
      </c>
      <c r="E14" s="8">
        <f t="shared" si="3"/>
        <v>4.0208576632063786E-2</v>
      </c>
      <c r="F14" s="8">
        <f t="shared" si="3"/>
        <v>2.2259423394921544E-2</v>
      </c>
      <c r="G14" s="5" t="str">
        <f t="shared" si="4"/>
        <v>---</v>
      </c>
      <c r="H14" s="5">
        <v>6</v>
      </c>
    </row>
    <row r="15" spans="1:8" x14ac:dyDescent="0.3">
      <c r="A15" s="8">
        <f t="shared" si="0"/>
        <v>-0.5525377013348407</v>
      </c>
      <c r="B15" s="8">
        <f t="shared" si="1"/>
        <v>-1.005921262867788</v>
      </c>
      <c r="C15" s="8">
        <f t="shared" si="2"/>
        <v>5.1104959691591189E-3</v>
      </c>
      <c r="D15" s="8">
        <f t="shared" si="3"/>
        <v>2.2719492097053595E-2</v>
      </c>
      <c r="E15" s="8">
        <f t="shared" si="3"/>
        <v>1.7953915902601758E-2</v>
      </c>
      <c r="F15" s="8">
        <f t="shared" si="3"/>
        <v>1.4704764539405167E-2</v>
      </c>
      <c r="G15" s="5" t="str">
        <f t="shared" si="4"/>
        <v>---</v>
      </c>
      <c r="H15" s="5">
        <v>7</v>
      </c>
    </row>
    <row r="16" spans="1:8" x14ac:dyDescent="0.3">
      <c r="A16" s="8">
        <f t="shared" si="0"/>
        <v>-0.56511010475187773</v>
      </c>
      <c r="B16" s="8">
        <f t="shared" si="1"/>
        <v>-1.023320074382885</v>
      </c>
      <c r="C16" s="8">
        <f t="shared" si="2"/>
        <v>-5.5552583745030288E-3</v>
      </c>
      <c r="D16" s="8">
        <f t="shared" si="3"/>
        <v>1.2572403417037026E-2</v>
      </c>
      <c r="E16" s="8">
        <f t="shared" si="3"/>
        <v>1.7398811515096924E-2</v>
      </c>
      <c r="F16" s="8">
        <f t="shared" si="3"/>
        <v>1.0665754343662147E-2</v>
      </c>
      <c r="G16" s="5" t="str">
        <f t="shared" si="4"/>
        <v>---</v>
      </c>
      <c r="H16" s="5">
        <v>8</v>
      </c>
    </row>
    <row r="17" spans="1:8" x14ac:dyDescent="0.3">
      <c r="A17" s="8">
        <f t="shared" si="0"/>
        <v>-0.57546779418594074</v>
      </c>
      <c r="B17" s="8">
        <f t="shared" si="1"/>
        <v>-1.0334538456079136</v>
      </c>
      <c r="C17" s="8">
        <f t="shared" si="2"/>
        <v>-1.2967904619736478E-2</v>
      </c>
      <c r="D17" s="8">
        <f t="shared" si="3"/>
        <v>1.0357689434063011E-2</v>
      </c>
      <c r="E17" s="8">
        <f t="shared" si="3"/>
        <v>1.0133771225028676E-2</v>
      </c>
      <c r="F17" s="8">
        <f t="shared" si="3"/>
        <v>7.4126462452334492E-3</v>
      </c>
      <c r="G17" s="5" t="str">
        <f t="shared" si="4"/>
        <v>---</v>
      </c>
      <c r="H17" s="5">
        <v>9</v>
      </c>
    </row>
    <row r="18" spans="1:8" x14ac:dyDescent="0.3">
      <c r="A18" s="8">
        <f t="shared" ref="A18:A32" si="5">($D$3-$B$3*B17-$C$3*C17)/$A$3</f>
        <v>-0.5821120963934262</v>
      </c>
      <c r="B18" s="8">
        <f t="shared" ref="B18:B32" si="6">($D$4-$A$4*A17-$C$4*C17)/$B$4</f>
        <v>-1.0415276317695459</v>
      </c>
      <c r="C18" s="8">
        <f t="shared" ref="C18:C32" si="7">($D$5-$A$5*A17-$B$5*B17)/$C$5</f>
        <v>-1.8224738382964144E-2</v>
      </c>
      <c r="D18" s="8">
        <f t="shared" ref="D18:D32" si="8">ABS(A18-A17)</f>
        <v>6.6443022074854641E-3</v>
      </c>
      <c r="E18" s="8">
        <f t="shared" ref="E18:E32" si="9">ABS(B18-B17)</f>
        <v>8.0737861616322348E-3</v>
      </c>
      <c r="F18" s="8">
        <f t="shared" ref="F18:F32" si="10">ABS(C18-C17)</f>
        <v>5.2568337632276658E-3</v>
      </c>
      <c r="G18" s="5" t="str">
        <f t="shared" ref="G18:G32" si="11">IF(AND(D18&lt;$G$7,E18&lt;$G$7,F18&lt;$G$7),"выполнено","---")</f>
        <v>выполнено</v>
      </c>
      <c r="H18" s="5">
        <v>10</v>
      </c>
    </row>
    <row r="19" spans="1:8" x14ac:dyDescent="0.3">
      <c r="A19" s="8">
        <f t="shared" si="5"/>
        <v>-0.58707513986572113</v>
      </c>
      <c r="B19" s="8">
        <f t="shared" si="6"/>
        <v>-1.0468071908360457</v>
      </c>
      <c r="C19" s="8">
        <f t="shared" si="7"/>
        <v>-2.1915288646563849E-2</v>
      </c>
      <c r="D19" s="8">
        <f t="shared" si="8"/>
        <v>4.9630434722949257E-3</v>
      </c>
      <c r="E19" s="8">
        <f t="shared" si="9"/>
        <v>5.2795590664997949E-3</v>
      </c>
      <c r="F19" s="8">
        <f t="shared" si="10"/>
        <v>3.6905502635997053E-3</v>
      </c>
      <c r="G19" s="5" t="str">
        <f t="shared" si="11"/>
        <v>выполнено</v>
      </c>
      <c r="H19" s="5">
        <v>11</v>
      </c>
    </row>
    <row r="20" spans="1:8" x14ac:dyDescent="0.3">
      <c r="A20" s="8">
        <f t="shared" si="5"/>
        <v>-0.59044944633958318</v>
      </c>
      <c r="B20" s="8">
        <f t="shared" si="6"/>
        <v>-1.0507036012802262</v>
      </c>
      <c r="C20" s="8">
        <f t="shared" si="7"/>
        <v>-2.4519950960970531E-2</v>
      </c>
      <c r="D20" s="8">
        <f t="shared" si="8"/>
        <v>3.3743064738620543E-3</v>
      </c>
      <c r="E20" s="8">
        <f t="shared" si="9"/>
        <v>3.8964104441805425E-3</v>
      </c>
      <c r="F20" s="8">
        <f t="shared" si="10"/>
        <v>2.6046623144066819E-3</v>
      </c>
      <c r="G20" s="5" t="str">
        <f t="shared" si="11"/>
        <v>выполнено</v>
      </c>
      <c r="H20" s="5">
        <v>12</v>
      </c>
    </row>
    <row r="21" spans="1:8" x14ac:dyDescent="0.3">
      <c r="A21" s="8">
        <f t="shared" si="5"/>
        <v>-0.59287910745565275</v>
      </c>
      <c r="B21" s="8">
        <f t="shared" si="6"/>
        <v>-1.0533718196810198</v>
      </c>
      <c r="C21" s="8">
        <f t="shared" si="7"/>
        <v>-2.6352938411821524E-2</v>
      </c>
      <c r="D21" s="8">
        <f t="shared" si="8"/>
        <v>2.4296611160695702E-3</v>
      </c>
      <c r="E21" s="8">
        <f t="shared" si="9"/>
        <v>2.668218400793565E-3</v>
      </c>
      <c r="F21" s="8">
        <f t="shared" si="10"/>
        <v>1.8329874508509932E-3</v>
      </c>
      <c r="G21" s="5" t="str">
        <f t="shared" si="11"/>
        <v>выполнено</v>
      </c>
      <c r="H21" s="5">
        <v>13</v>
      </c>
    </row>
    <row r="22" spans="1:8" x14ac:dyDescent="0.3">
      <c r="A22" s="8">
        <f t="shared" si="5"/>
        <v>-0.5945680496666883</v>
      </c>
      <c r="B22" s="8">
        <f t="shared" si="6"/>
        <v>-1.0552845651541434</v>
      </c>
      <c r="C22" s="8">
        <f t="shared" si="7"/>
        <v>-2.7644972957432231E-2</v>
      </c>
      <c r="D22" s="8">
        <f t="shared" si="8"/>
        <v>1.688942211035549E-3</v>
      </c>
      <c r="E22" s="8">
        <f t="shared" si="9"/>
        <v>1.9127454731235893E-3</v>
      </c>
      <c r="F22" s="8">
        <f t="shared" si="10"/>
        <v>1.2920345456107069E-3</v>
      </c>
      <c r="G22" s="5" t="str">
        <f t="shared" si="11"/>
        <v>выполнено</v>
      </c>
      <c r="H22" s="5">
        <v>14</v>
      </c>
    </row>
    <row r="23" spans="1:8" x14ac:dyDescent="0.3">
      <c r="A23" s="8">
        <f t="shared" si="5"/>
        <v>-0.59576759900307208</v>
      </c>
      <c r="B23" s="8">
        <f t="shared" si="6"/>
        <v>-1.0566177534702881</v>
      </c>
      <c r="C23" s="8">
        <f t="shared" si="7"/>
        <v>-2.8554844035170623E-2</v>
      </c>
      <c r="D23" s="8">
        <f t="shared" si="8"/>
        <v>1.1995493363837761E-3</v>
      </c>
      <c r="E23" s="8">
        <f t="shared" si="9"/>
        <v>1.3331883161447067E-3</v>
      </c>
      <c r="F23" s="8">
        <f t="shared" si="10"/>
        <v>9.0987107773839171E-4</v>
      </c>
      <c r="G23" s="5" t="str">
        <f t="shared" si="11"/>
        <v>выполнено</v>
      </c>
      <c r="H23" s="5">
        <v>15</v>
      </c>
    </row>
    <row r="24" spans="1:8" x14ac:dyDescent="0.3">
      <c r="A24" s="8">
        <f t="shared" si="5"/>
        <v>-0.59660843567931943</v>
      </c>
      <c r="B24" s="8">
        <f t="shared" si="6"/>
        <v>-1.0575630772635345</v>
      </c>
      <c r="C24" s="8">
        <f t="shared" si="7"/>
        <v>-2.9195945036604418E-2</v>
      </c>
      <c r="D24" s="8">
        <f t="shared" si="8"/>
        <v>8.4083667624734737E-4</v>
      </c>
      <c r="E24" s="8">
        <f t="shared" si="9"/>
        <v>9.4532379324641092E-4</v>
      </c>
      <c r="F24" s="8">
        <f t="shared" si="10"/>
        <v>6.4110100143379561E-4</v>
      </c>
      <c r="G24" s="5" t="str">
        <f t="shared" si="11"/>
        <v>выполнено</v>
      </c>
      <c r="H24" s="5">
        <v>16</v>
      </c>
    </row>
    <row r="25" spans="1:8" x14ac:dyDescent="0.3">
      <c r="A25" s="8">
        <f t="shared" si="5"/>
        <v>-0.59720257877247807</v>
      </c>
      <c r="B25" s="8">
        <f t="shared" si="6"/>
        <v>-1.058226375348706</v>
      </c>
      <c r="C25" s="8">
        <f t="shared" si="7"/>
        <v>-2.9647519537409423E-2</v>
      </c>
      <c r="D25" s="8">
        <f t="shared" si="8"/>
        <v>5.9414309315863889E-4</v>
      </c>
      <c r="E25" s="8">
        <f t="shared" si="9"/>
        <v>6.6329808517151534E-4</v>
      </c>
      <c r="F25" s="8">
        <f t="shared" si="10"/>
        <v>4.5157450080500483E-4</v>
      </c>
      <c r="G25" s="5" t="str">
        <f t="shared" si="11"/>
        <v>выполнено</v>
      </c>
      <c r="H25" s="5">
        <v>17</v>
      </c>
    </row>
    <row r="26" spans="1:8" x14ac:dyDescent="0.3">
      <c r="A26" s="8">
        <f t="shared" si="5"/>
        <v>-0.59762035203284236</v>
      </c>
      <c r="B26" s="8">
        <f t="shared" si="6"/>
        <v>-1.0586947813081498</v>
      </c>
      <c r="C26" s="8">
        <f t="shared" si="7"/>
        <v>-2.996565986919561E-2</v>
      </c>
      <c r="D26" s="8">
        <f t="shared" si="8"/>
        <v>4.1777326036429585E-4</v>
      </c>
      <c r="E26" s="8">
        <f t="shared" si="9"/>
        <v>4.6840595944375174E-4</v>
      </c>
      <c r="F26" s="8">
        <f t="shared" si="10"/>
        <v>3.1814033178618681E-4</v>
      </c>
      <c r="G26" s="5" t="str">
        <f t="shared" si="11"/>
        <v>выполнено</v>
      </c>
      <c r="H26" s="5">
        <v>18</v>
      </c>
    </row>
    <row r="27" spans="1:8" x14ac:dyDescent="0.3">
      <c r="A27" s="8">
        <f t="shared" si="5"/>
        <v>-0.5979149912469911</v>
      </c>
      <c r="B27" s="8">
        <f t="shared" si="6"/>
        <v>-1.0590242650856478</v>
      </c>
      <c r="C27" s="8">
        <f t="shared" si="7"/>
        <v>-3.0189767084433876E-2</v>
      </c>
      <c r="D27" s="8">
        <f t="shared" si="8"/>
        <v>2.9463921414873973E-4</v>
      </c>
      <c r="E27" s="8">
        <f t="shared" si="9"/>
        <v>3.2948377749808522E-4</v>
      </c>
      <c r="F27" s="8">
        <f t="shared" si="10"/>
        <v>2.2410721523826588E-4</v>
      </c>
      <c r="G27" s="5" t="str">
        <f t="shared" si="11"/>
        <v>выполнено</v>
      </c>
      <c r="H27" s="5">
        <v>19</v>
      </c>
    </row>
    <row r="28" spans="1:8" x14ac:dyDescent="0.3">
      <c r="A28" s="8">
        <f t="shared" si="5"/>
        <v>-0.59812240919932891</v>
      </c>
      <c r="B28" s="8">
        <f t="shared" si="6"/>
        <v>-1.0592565842104265</v>
      </c>
      <c r="C28" s="8">
        <f t="shared" si="7"/>
        <v>-3.0347646177116435E-2</v>
      </c>
      <c r="D28" s="8">
        <f t="shared" si="8"/>
        <v>2.0741795233780724E-4</v>
      </c>
      <c r="E28" s="8">
        <f t="shared" si="9"/>
        <v>2.3231912477861272E-4</v>
      </c>
      <c r="F28" s="8">
        <f t="shared" si="10"/>
        <v>1.578790926825592E-4</v>
      </c>
      <c r="G28" s="5" t="str">
        <f t="shared" si="11"/>
        <v>выполнено</v>
      </c>
      <c r="H28" s="5">
        <v>20</v>
      </c>
    </row>
    <row r="29" spans="1:8" x14ac:dyDescent="0.3">
      <c r="A29" s="8">
        <f t="shared" si="5"/>
        <v>-0.59826858886676493</v>
      </c>
      <c r="B29" s="8">
        <f t="shared" si="6"/>
        <v>-1.0594201532713599</v>
      </c>
      <c r="C29" s="8">
        <f t="shared" si="7"/>
        <v>-3.0458863937616685E-2</v>
      </c>
      <c r="D29" s="8">
        <f t="shared" si="8"/>
        <v>1.461796674360194E-4</v>
      </c>
      <c r="E29" s="8">
        <f t="shared" si="9"/>
        <v>1.6356906093339951E-4</v>
      </c>
      <c r="F29" s="8">
        <f t="shared" si="10"/>
        <v>1.1121776050024984E-4</v>
      </c>
      <c r="G29" s="5" t="str">
        <f t="shared" si="11"/>
        <v>выполнено</v>
      </c>
      <c r="H29" s="5">
        <v>21</v>
      </c>
    </row>
    <row r="30" spans="1:8" x14ac:dyDescent="0.3">
      <c r="A30" s="8">
        <f t="shared" si="5"/>
        <v>-0.59837154010162352</v>
      </c>
      <c r="B30" s="8">
        <f t="shared" si="6"/>
        <v>-1.0595354202481919</v>
      </c>
      <c r="C30" s="8">
        <f t="shared" si="7"/>
        <v>-3.0537213287488183E-2</v>
      </c>
      <c r="D30" s="8">
        <f t="shared" si="8"/>
        <v>1.0295123485859481E-4</v>
      </c>
      <c r="E30" s="8">
        <f t="shared" si="9"/>
        <v>1.1526697683206244E-4</v>
      </c>
      <c r="F30" s="8">
        <f t="shared" si="10"/>
        <v>7.8349349871498219E-5</v>
      </c>
      <c r="G30" s="5" t="str">
        <f t="shared" si="11"/>
        <v>выполнено</v>
      </c>
      <c r="H30" s="5">
        <v>22</v>
      </c>
    </row>
    <row r="31" spans="1:8" x14ac:dyDescent="0.3">
      <c r="A31" s="8">
        <f t="shared" si="5"/>
        <v>-0.59844407665066146</v>
      </c>
      <c r="B31" s="8">
        <f t="shared" si="6"/>
        <v>-1.059616604540349</v>
      </c>
      <c r="C31" s="8">
        <f t="shared" si="7"/>
        <v>-3.0592406986446125E-2</v>
      </c>
      <c r="D31" s="8">
        <f t="shared" si="8"/>
        <v>7.2536549037938158E-5</v>
      </c>
      <c r="E31" s="8">
        <f t="shared" si="9"/>
        <v>8.1184292157088223E-5</v>
      </c>
      <c r="F31" s="8">
        <f t="shared" si="10"/>
        <v>5.5193698957942128E-5</v>
      </c>
      <c r="G31" s="5" t="str">
        <f t="shared" si="11"/>
        <v>выполнено</v>
      </c>
      <c r="H31" s="5">
        <v>23</v>
      </c>
    </row>
    <row r="32" spans="1:8" x14ac:dyDescent="0.3">
      <c r="A32" s="8">
        <f t="shared" si="5"/>
        <v>-0.59849517088187321</v>
      </c>
      <c r="B32" s="8">
        <f t="shared" si="6"/>
        <v>-1.0596738029022557</v>
      </c>
      <c r="C32" s="8">
        <f t="shared" si="7"/>
        <v>-3.0631288929799168E-2</v>
      </c>
      <c r="D32" s="8">
        <f t="shared" si="8"/>
        <v>5.1094231211745722E-5</v>
      </c>
      <c r="E32" s="8">
        <f t="shared" si="9"/>
        <v>5.719836190665184E-5</v>
      </c>
      <c r="F32" s="8">
        <f t="shared" si="10"/>
        <v>3.8881943353042542E-5</v>
      </c>
      <c r="G32" s="5" t="str">
        <f t="shared" si="11"/>
        <v>выполнено</v>
      </c>
      <c r="H32" s="5">
        <v>24</v>
      </c>
    </row>
    <row r="33" spans="1:8" x14ac:dyDescent="0.3">
      <c r="A33" s="9"/>
      <c r="B33" s="9"/>
      <c r="C33" s="9"/>
      <c r="D33" s="9"/>
      <c r="E33" s="9"/>
      <c r="F33" s="9"/>
      <c r="G33" s="10"/>
      <c r="H33" s="10"/>
    </row>
    <row r="34" spans="1:8" x14ac:dyDescent="0.3">
      <c r="A34" s="9"/>
      <c r="B34" s="9"/>
      <c r="C34" s="9"/>
      <c r="D34" s="9"/>
      <c r="E34" s="9"/>
      <c r="F34" s="9"/>
      <c r="G34" s="10"/>
      <c r="H34" s="10"/>
    </row>
    <row r="35" spans="1:8" x14ac:dyDescent="0.3">
      <c r="A35" s="9"/>
      <c r="B35" s="9"/>
      <c r="C35" s="9"/>
      <c r="D35" s="9"/>
      <c r="E35" s="9"/>
      <c r="F35" s="9"/>
      <c r="G35" s="10"/>
      <c r="H35" s="10"/>
    </row>
    <row r="36" spans="1:8" x14ac:dyDescent="0.3">
      <c r="A36" s="9"/>
      <c r="B36" s="9"/>
      <c r="C36" s="9"/>
      <c r="D36" s="9"/>
      <c r="E36" s="9"/>
      <c r="F36" s="9"/>
      <c r="G36" s="10"/>
      <c r="H36" s="10"/>
    </row>
    <row r="37" spans="1:8" x14ac:dyDescent="0.3">
      <c r="A37" s="9"/>
      <c r="B37" s="9"/>
      <c r="C37" s="9"/>
      <c r="D37" s="9"/>
      <c r="E37" s="9"/>
      <c r="F37" s="9"/>
      <c r="G37" s="10"/>
      <c r="H37" s="10"/>
    </row>
    <row r="38" spans="1:8" x14ac:dyDescent="0.3">
      <c r="A38" s="9"/>
      <c r="B38" s="9"/>
      <c r="C38" s="9"/>
      <c r="D38" s="9"/>
      <c r="E38" s="9"/>
      <c r="F38" s="9"/>
      <c r="G38" s="10"/>
      <c r="H38" s="10"/>
    </row>
    <row r="39" spans="1:8" x14ac:dyDescent="0.3">
      <c r="A39" s="9"/>
      <c r="B39" s="9"/>
      <c r="C39" s="9"/>
      <c r="D39" s="9"/>
      <c r="E39" s="9"/>
      <c r="F39" s="9"/>
      <c r="G39" s="10"/>
      <c r="H39" s="10"/>
    </row>
    <row r="40" spans="1:8" x14ac:dyDescent="0.3">
      <c r="A40" s="9"/>
      <c r="B40" s="9"/>
      <c r="C40" s="9"/>
      <c r="D40" s="9"/>
      <c r="E40" s="9"/>
      <c r="F40" s="9"/>
      <c r="G40" s="10"/>
      <c r="H40" s="10"/>
    </row>
    <row r="55" spans="1:8" x14ac:dyDescent="0.3">
      <c r="A55" s="9"/>
      <c r="B55" s="9"/>
      <c r="C55" s="9"/>
      <c r="D55" s="9"/>
      <c r="E55" s="9"/>
      <c r="F55" s="9"/>
      <c r="G55" s="10"/>
      <c r="H55" s="10"/>
    </row>
    <row r="56" spans="1:8" x14ac:dyDescent="0.3">
      <c r="A56" s="9"/>
      <c r="B56" s="9"/>
      <c r="C56" s="9"/>
      <c r="D56" s="9"/>
      <c r="E56" s="9"/>
      <c r="F56" s="9"/>
      <c r="G56" s="10"/>
      <c r="H56" s="10"/>
    </row>
    <row r="57" spans="1:8" x14ac:dyDescent="0.3">
      <c r="A57" s="9"/>
      <c r="B57" s="9"/>
      <c r="C57" s="9"/>
      <c r="D57" s="9"/>
      <c r="E57" s="9"/>
      <c r="F57" s="9"/>
      <c r="G57" s="10"/>
      <c r="H57" s="10"/>
    </row>
    <row r="58" spans="1:8" x14ac:dyDescent="0.3">
      <c r="A58" s="9"/>
      <c r="B58" s="9"/>
      <c r="C58" s="9"/>
      <c r="D58" s="9"/>
      <c r="E58" s="9"/>
      <c r="F58" s="9"/>
      <c r="G58" s="10"/>
      <c r="H58" s="10"/>
    </row>
    <row r="59" spans="1:8" x14ac:dyDescent="0.3">
      <c r="A59" s="9"/>
      <c r="B59" s="9"/>
      <c r="C59" s="9"/>
      <c r="D59" s="9"/>
      <c r="E59" s="9"/>
      <c r="F59" s="9"/>
      <c r="G59" s="10"/>
      <c r="H59" s="10"/>
    </row>
    <row r="60" spans="1:8" x14ac:dyDescent="0.3">
      <c r="A60" s="9"/>
      <c r="B60" s="9"/>
      <c r="C60" s="9"/>
      <c r="D60" s="9"/>
      <c r="E60" s="9"/>
      <c r="F60" s="9"/>
      <c r="G60" s="10"/>
      <c r="H60" s="10"/>
    </row>
    <row r="61" spans="1:8" x14ac:dyDescent="0.3">
      <c r="A61" s="9"/>
      <c r="B61" s="9"/>
      <c r="C61" s="9"/>
      <c r="D61" s="9"/>
      <c r="E61" s="9"/>
      <c r="F61" s="9"/>
      <c r="G61" s="10"/>
      <c r="H61" s="10"/>
    </row>
    <row r="62" spans="1:8" x14ac:dyDescent="0.3">
      <c r="A62" s="9"/>
      <c r="B62" s="9"/>
      <c r="C62" s="9"/>
      <c r="D62" s="9"/>
      <c r="E62" s="9"/>
      <c r="F62" s="9"/>
      <c r="G62" s="10"/>
      <c r="H62" s="10"/>
    </row>
    <row r="63" spans="1:8" x14ac:dyDescent="0.3">
      <c r="A63" s="9"/>
      <c r="B63" s="9"/>
      <c r="C63" s="9"/>
      <c r="D63" s="9"/>
      <c r="E63" s="9"/>
      <c r="F63" s="9"/>
      <c r="G63" s="10"/>
      <c r="H63" s="10"/>
    </row>
    <row r="64" spans="1:8" x14ac:dyDescent="0.3">
      <c r="A64" s="9"/>
      <c r="B64" s="9"/>
      <c r="C64" s="9"/>
      <c r="D64" s="9"/>
      <c r="E64" s="9"/>
      <c r="F64" s="9"/>
      <c r="G64" s="10"/>
      <c r="H64" s="10"/>
    </row>
    <row r="65" spans="1:8" x14ac:dyDescent="0.3">
      <c r="A65" s="9"/>
      <c r="B65" s="9"/>
      <c r="C65" s="9"/>
      <c r="D65" s="9"/>
      <c r="E65" s="9"/>
      <c r="F65" s="9"/>
      <c r="G65" s="10"/>
      <c r="H65" s="10"/>
    </row>
    <row r="66" spans="1:8" x14ac:dyDescent="0.3">
      <c r="A66" s="9"/>
      <c r="B66" s="9"/>
      <c r="C66" s="9"/>
      <c r="D66" s="9"/>
      <c r="E66" s="9"/>
      <c r="F66" s="9"/>
      <c r="G66" s="10"/>
      <c r="H66" s="10"/>
    </row>
    <row r="67" spans="1:8" x14ac:dyDescent="0.3">
      <c r="A67" s="9"/>
      <c r="B67" s="9"/>
      <c r="C67" s="9"/>
      <c r="D67" s="9"/>
      <c r="E67" s="9"/>
      <c r="F67" s="9"/>
      <c r="G67" s="10"/>
      <c r="H67" s="10"/>
    </row>
  </sheetData>
  <mergeCells count="1">
    <mergeCell ref="A2:C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workbookViewId="0">
      <selection activeCell="J18" sqref="J18"/>
    </sheetView>
  </sheetViews>
  <sheetFormatPr defaultRowHeight="14.4" x14ac:dyDescent="0.3"/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3" t="s">
        <v>1</v>
      </c>
      <c r="B2" s="13"/>
      <c r="C2" s="13"/>
      <c r="D2" s="2" t="s">
        <v>2</v>
      </c>
      <c r="E2" s="1"/>
      <c r="F2" s="1"/>
      <c r="G2" s="1"/>
      <c r="H2" s="1"/>
    </row>
    <row r="3" spans="1:8" x14ac:dyDescent="0.3">
      <c r="A3" s="3">
        <v>53</v>
      </c>
      <c r="B3" s="3">
        <v>-15</v>
      </c>
      <c r="C3" s="3">
        <v>-27</v>
      </c>
      <c r="D3" s="2">
        <v>-15</v>
      </c>
      <c r="E3" s="1"/>
      <c r="F3" s="1"/>
      <c r="G3" s="1"/>
      <c r="H3" s="1"/>
    </row>
    <row r="4" spans="1:8" x14ac:dyDescent="0.3">
      <c r="A4" s="3">
        <v>35</v>
      </c>
      <c r="B4" s="3">
        <v>-55</v>
      </c>
      <c r="C4" s="3">
        <v>11</v>
      </c>
      <c r="D4" s="2">
        <v>37</v>
      </c>
      <c r="E4" s="1"/>
      <c r="F4" s="1"/>
      <c r="G4" s="1"/>
      <c r="H4" s="1"/>
    </row>
    <row r="5" spans="1:8" x14ac:dyDescent="0.3">
      <c r="A5" s="3">
        <v>-26</v>
      </c>
      <c r="B5" s="3">
        <v>-17</v>
      </c>
      <c r="C5" s="3">
        <v>84</v>
      </c>
      <c r="D5" s="2">
        <v>31</v>
      </c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5" t="s">
        <v>3</v>
      </c>
      <c r="G6" s="1"/>
      <c r="H6" s="1"/>
    </row>
    <row r="7" spans="1:8" x14ac:dyDescent="0.3">
      <c r="A7" s="4" t="s">
        <v>4</v>
      </c>
      <c r="B7" s="4" t="s">
        <v>5</v>
      </c>
      <c r="C7" s="4" t="s">
        <v>6</v>
      </c>
      <c r="D7" s="5"/>
      <c r="E7" s="5"/>
      <c r="F7" s="6" t="s">
        <v>7</v>
      </c>
      <c r="G7" s="6">
        <v>0.01</v>
      </c>
      <c r="H7" s="4" t="s">
        <v>8</v>
      </c>
    </row>
    <row r="8" spans="1:8" x14ac:dyDescent="0.3">
      <c r="A8" s="5">
        <v>0</v>
      </c>
      <c r="B8" s="5">
        <v>0</v>
      </c>
      <c r="C8" s="5">
        <v>0</v>
      </c>
      <c r="D8" s="4" t="s">
        <v>9</v>
      </c>
      <c r="E8" s="4" t="s">
        <v>10</v>
      </c>
      <c r="F8" s="4" t="s">
        <v>11</v>
      </c>
      <c r="G8" s="4" t="s">
        <v>12</v>
      </c>
      <c r="H8" s="7">
        <v>0</v>
      </c>
    </row>
    <row r="9" spans="1:8" x14ac:dyDescent="0.3">
      <c r="A9" s="8">
        <f>($D$3-$B$3*B8-$C$3*C8)/$A$3</f>
        <v>-0.28301886792452829</v>
      </c>
      <c r="B9" s="8">
        <f>($D$4-$A$4*A9-$C$4*C8)/$B$4</f>
        <v>-0.8528301886792452</v>
      </c>
      <c r="C9" s="8">
        <f>($D$5-$A$5*A9-$B$5*B9)/$C$5</f>
        <v>0.10884995507637016</v>
      </c>
      <c r="D9" s="8">
        <f>ABS(A9-A8)</f>
        <v>0.28301886792452829</v>
      </c>
      <c r="E9" s="8">
        <f>ABS(B9-B8)</f>
        <v>0.8528301886792452</v>
      </c>
      <c r="F9" s="8">
        <f>ABS(C9-C8)</f>
        <v>0.10884995507637016</v>
      </c>
      <c r="G9" s="5" t="str">
        <f>IF(AND(D9&lt;$G$7,E9&lt;$G$7,F9&lt;$G$7),"выполнено","---")</f>
        <v>---</v>
      </c>
      <c r="H9" s="5">
        <v>1</v>
      </c>
    </row>
    <row r="10" spans="1:8" x14ac:dyDescent="0.3">
      <c r="A10" s="8">
        <f t="shared" ref="A10:A14" si="0">($D$3-$B$3*B9-$C$3*C9)/$A$3</f>
        <v>-0.46893403854956006</v>
      </c>
      <c r="B10" s="8">
        <f t="shared" ref="B10:B14" si="1">($D$4-$A$4*A10-$C$4*C9)/$B$4</f>
        <v>-0.94936985169808241</v>
      </c>
      <c r="C10" s="8">
        <f t="shared" ref="C10:C14" si="2">($D$5-$A$5*A10-$B$5*B10)/$C$5</f>
        <v>3.1766994271952786E-2</v>
      </c>
      <c r="D10" s="8">
        <f t="shared" ref="D10:D14" si="3">ABS(A10-A9)</f>
        <v>0.18591517062503177</v>
      </c>
      <c r="E10" s="8">
        <f t="shared" ref="E10:E14" si="4">ABS(B10-B9)</f>
        <v>9.6539663018837207E-2</v>
      </c>
      <c r="F10" s="8">
        <f t="shared" ref="F10:F14" si="5">ABS(C10-C9)</f>
        <v>7.7082960804417372E-2</v>
      </c>
      <c r="G10" s="5" t="str">
        <f t="shared" ref="G10:G14" si="6">IF(AND(D10&lt;$G$7,E10&lt;$G$7,F10&lt;$G$7),"выполнено","---")</f>
        <v>---</v>
      </c>
      <c r="H10" s="5">
        <v>2</v>
      </c>
    </row>
    <row r="11" spans="1:8" x14ac:dyDescent="0.3">
      <c r="A11" s="8">
        <f t="shared" si="0"/>
        <v>-0.53552526283261337</v>
      </c>
      <c r="B11" s="8">
        <f t="shared" si="1"/>
        <v>-1.0071626774936362</v>
      </c>
      <c r="C11" s="8">
        <f t="shared" si="2"/>
        <v>-5.4074227428287038E-4</v>
      </c>
      <c r="D11" s="8">
        <f t="shared" si="3"/>
        <v>6.6591224283053307E-2</v>
      </c>
      <c r="E11" s="8">
        <f t="shared" si="4"/>
        <v>5.7792825795553782E-2</v>
      </c>
      <c r="F11" s="8">
        <f t="shared" si="5"/>
        <v>3.2307736546235657E-2</v>
      </c>
      <c r="G11" s="5" t="str">
        <f t="shared" si="6"/>
        <v>---</v>
      </c>
      <c r="H11" s="5">
        <v>3</v>
      </c>
    </row>
    <row r="12" spans="1:8" x14ac:dyDescent="0.3">
      <c r="A12" s="8">
        <f t="shared" si="0"/>
        <v>-0.56834038120396568</v>
      </c>
      <c r="B12" s="8">
        <f t="shared" si="1"/>
        <v>-1.0345065728573801</v>
      </c>
      <c r="C12" s="8">
        <f t="shared" si="2"/>
        <v>-1.6231686308078253E-2</v>
      </c>
      <c r="D12" s="8">
        <f t="shared" si="3"/>
        <v>3.2815118371352314E-2</v>
      </c>
      <c r="E12" s="8">
        <f t="shared" si="4"/>
        <v>2.7343895363743931E-2</v>
      </c>
      <c r="F12" s="8">
        <f t="shared" si="5"/>
        <v>1.5690944033795381E-2</v>
      </c>
      <c r="G12" s="5" t="str">
        <f t="shared" si="6"/>
        <v>---</v>
      </c>
      <c r="H12" s="5">
        <v>4</v>
      </c>
    </row>
    <row r="13" spans="1:8" x14ac:dyDescent="0.3">
      <c r="A13" s="8">
        <f t="shared" si="0"/>
        <v>-0.58407271930526061</v>
      </c>
      <c r="B13" s="8">
        <f t="shared" si="1"/>
        <v>-1.0476562495467814</v>
      </c>
      <c r="C13" s="8">
        <f t="shared" si="2"/>
        <v>-2.3762463621810254E-2</v>
      </c>
      <c r="D13" s="8">
        <f t="shared" si="3"/>
        <v>1.5732338101294929E-2</v>
      </c>
      <c r="E13" s="8">
        <f t="shared" si="4"/>
        <v>1.3149676689401257E-2</v>
      </c>
      <c r="F13" s="8">
        <f t="shared" si="5"/>
        <v>7.5307773137320011E-3</v>
      </c>
      <c r="G13" s="5" t="str">
        <f t="shared" si="6"/>
        <v>---</v>
      </c>
      <c r="H13" s="5">
        <v>5</v>
      </c>
    </row>
    <row r="14" spans="1:8" x14ac:dyDescent="0.3">
      <c r="A14" s="8">
        <f t="shared" si="0"/>
        <v>-0.59163075964133205</v>
      </c>
      <c r="B14" s="8">
        <f t="shared" si="1"/>
        <v>-1.0539720670415733</v>
      </c>
      <c r="C14" s="8">
        <f t="shared" si="2"/>
        <v>-2.7380058218825953E-2</v>
      </c>
      <c r="D14" s="8">
        <f t="shared" si="3"/>
        <v>7.5580403360714365E-3</v>
      </c>
      <c r="E14" s="8">
        <f t="shared" si="4"/>
        <v>6.315817494791931E-3</v>
      </c>
      <c r="F14" s="8">
        <f t="shared" si="5"/>
        <v>3.617594597015699E-3</v>
      </c>
      <c r="G14" s="5" t="str">
        <f t="shared" si="6"/>
        <v>выполнено</v>
      </c>
      <c r="H14" s="5">
        <v>6</v>
      </c>
    </row>
    <row r="15" spans="1:8" x14ac:dyDescent="0.3">
      <c r="A15" s="9"/>
      <c r="B15" s="9"/>
      <c r="C15" s="9"/>
      <c r="D15" s="9"/>
      <c r="E15" s="9"/>
      <c r="F15" s="9"/>
      <c r="G15" s="10"/>
      <c r="H15" s="10"/>
    </row>
    <row r="16" spans="1:8" x14ac:dyDescent="0.3">
      <c r="A16" s="9"/>
      <c r="B16" s="9"/>
      <c r="C16" s="9"/>
      <c r="D16" s="9"/>
      <c r="E16" s="9"/>
      <c r="F16" s="9"/>
      <c r="G16" s="10"/>
      <c r="H16" s="10"/>
    </row>
    <row r="17" spans="1:8" x14ac:dyDescent="0.3">
      <c r="A17" s="9"/>
      <c r="B17" s="9"/>
      <c r="C17" s="9"/>
      <c r="D17" s="9"/>
      <c r="E17" s="9"/>
      <c r="F17" s="9"/>
      <c r="G17" s="10"/>
      <c r="H17" s="10"/>
    </row>
    <row r="18" spans="1:8" x14ac:dyDescent="0.3">
      <c r="A18" s="9"/>
      <c r="B18" s="9"/>
      <c r="C18" s="9"/>
      <c r="D18" s="9"/>
      <c r="E18" s="9"/>
      <c r="F18" s="9"/>
      <c r="G18" s="10"/>
      <c r="H18" s="10"/>
    </row>
    <row r="19" spans="1:8" x14ac:dyDescent="0.3">
      <c r="A19" s="9"/>
      <c r="B19" s="9"/>
      <c r="C19" s="9"/>
      <c r="D19" s="9"/>
      <c r="E19" s="9"/>
      <c r="F19" s="9"/>
      <c r="G19" s="10"/>
      <c r="H19" s="10"/>
    </row>
    <row r="20" spans="1:8" x14ac:dyDescent="0.3">
      <c r="A20" s="9"/>
      <c r="B20" s="9"/>
      <c r="C20" s="9"/>
      <c r="D20" s="9"/>
      <c r="E20" s="9"/>
      <c r="F20" s="9"/>
      <c r="G20" s="10"/>
      <c r="H20" s="10"/>
    </row>
    <row r="21" spans="1:8" x14ac:dyDescent="0.3">
      <c r="A21" s="9"/>
      <c r="B21" s="9"/>
      <c r="C21" s="9"/>
      <c r="D21" s="9"/>
      <c r="E21" s="9"/>
      <c r="F21" s="9"/>
      <c r="G21" s="10"/>
      <c r="H21" s="10"/>
    </row>
    <row r="22" spans="1:8" x14ac:dyDescent="0.3">
      <c r="A22" s="9"/>
      <c r="B22" s="9"/>
      <c r="C22" s="9"/>
      <c r="D22" s="9"/>
      <c r="E22" s="9"/>
      <c r="F22" s="9"/>
      <c r="G22" s="10"/>
      <c r="H22" s="10"/>
    </row>
    <row r="23" spans="1:8" x14ac:dyDescent="0.3">
      <c r="A23" s="9"/>
      <c r="B23" s="9"/>
      <c r="C23" s="9"/>
      <c r="D23" s="9"/>
      <c r="E23" s="9"/>
      <c r="F23" s="9"/>
      <c r="G23" s="10"/>
      <c r="H23" s="10"/>
    </row>
    <row r="24" spans="1:8" x14ac:dyDescent="0.3">
      <c r="A24" s="9"/>
      <c r="B24" s="9"/>
      <c r="C24" s="9"/>
      <c r="D24" s="9"/>
      <c r="E24" s="9"/>
      <c r="F24" s="9"/>
      <c r="G24" s="10"/>
      <c r="H24" s="10"/>
    </row>
    <row r="25" spans="1:8" x14ac:dyDescent="0.3">
      <c r="A25" s="9"/>
      <c r="B25" s="9"/>
      <c r="C25" s="9"/>
      <c r="D25" s="9"/>
      <c r="E25" s="9"/>
      <c r="F25" s="9"/>
      <c r="G25" s="10"/>
      <c r="H25" s="10"/>
    </row>
  </sheetData>
  <mergeCells count="1">
    <mergeCell ref="A2:C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2025-12-01T20:25:59Z</dcterms:modified>
</cp:coreProperties>
</file>