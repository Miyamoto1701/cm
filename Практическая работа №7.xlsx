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 activeTab="2"/>
  </bookViews>
  <sheets>
    <sheet name="Лист1" sheetId="1" r:id="rId1"/>
    <sheet name="Лист2" sheetId="2" r:id="rId2"/>
    <sheet name="Лист2 (2)" sheetId="4" r:id="rId3"/>
    <sheet name="Лист3" sheetId="3" r:id="rId4"/>
  </sheets>
  <calcPr calcId="125725"/>
</workbook>
</file>

<file path=xl/calcChain.xml><?xml version="1.0" encoding="utf-8"?>
<calcChain xmlns="http://schemas.openxmlformats.org/spreadsheetml/2006/main">
  <c r="C2" i="4"/>
  <c r="D2"/>
  <c r="H2"/>
  <c r="H26"/>
  <c r="G26"/>
  <c r="J16" i="2"/>
  <c r="K1" i="4"/>
  <c r="L12"/>
  <c r="G2"/>
  <c r="R12" i="2"/>
  <c r="B3" i="4"/>
  <c r="R11" i="2"/>
  <c r="R19" s="1"/>
  <c r="R15"/>
  <c r="R23" s="1"/>
  <c r="R14"/>
  <c r="R22" s="1"/>
  <c r="R13"/>
  <c r="R21" s="1"/>
  <c r="R20"/>
  <c r="K16"/>
  <c r="L16"/>
  <c r="M16"/>
  <c r="N16"/>
  <c r="K13"/>
  <c r="L13"/>
  <c r="M13"/>
  <c r="J13"/>
  <c r="L3"/>
  <c r="L4"/>
  <c r="L5"/>
  <c r="L6"/>
  <c r="L7"/>
  <c r="L8"/>
  <c r="L9"/>
  <c r="L10"/>
  <c r="L11"/>
  <c r="L12"/>
  <c r="L2"/>
  <c r="N3"/>
  <c r="N4"/>
  <c r="N5"/>
  <c r="N6"/>
  <c r="N7"/>
  <c r="N8"/>
  <c r="N9"/>
  <c r="N10"/>
  <c r="N11"/>
  <c r="N12"/>
  <c r="N2"/>
  <c r="M3"/>
  <c r="M4"/>
  <c r="M5"/>
  <c r="M6"/>
  <c r="M7"/>
  <c r="M8"/>
  <c r="M9"/>
  <c r="M10"/>
  <c r="M11"/>
  <c r="M12"/>
  <c r="M2"/>
  <c r="D2"/>
  <c r="J2" s="1"/>
  <c r="Q1"/>
  <c r="C2" s="1"/>
  <c r="E2" s="1"/>
  <c r="D3" i="4" l="1"/>
  <c r="B4"/>
  <c r="C3"/>
  <c r="N13" i="2"/>
  <c r="B3"/>
  <c r="K2"/>
  <c r="B5" i="4" l="1"/>
  <c r="C4"/>
  <c r="D4"/>
  <c r="H3"/>
  <c r="G3"/>
  <c r="D3" i="2"/>
  <c r="C3"/>
  <c r="E3" s="1"/>
  <c r="B4"/>
  <c r="H4" i="4" l="1"/>
  <c r="G4"/>
  <c r="D5"/>
  <c r="B6"/>
  <c r="C5"/>
  <c r="J3" i="2"/>
  <c r="K3"/>
  <c r="B5"/>
  <c r="D4"/>
  <c r="C4"/>
  <c r="E4" s="1"/>
  <c r="H5" i="4" l="1"/>
  <c r="G5"/>
  <c r="B7"/>
  <c r="C6"/>
  <c r="D6"/>
  <c r="B6" i="2"/>
  <c r="D5"/>
  <c r="C5"/>
  <c r="E5" s="1"/>
  <c r="K4"/>
  <c r="J4"/>
  <c r="H6" i="4" l="1"/>
  <c r="G6"/>
  <c r="D7"/>
  <c r="B8"/>
  <c r="C7"/>
  <c r="B7" i="2"/>
  <c r="D6"/>
  <c r="C6"/>
  <c r="E6" s="1"/>
  <c r="J5"/>
  <c r="K5"/>
  <c r="B9" i="4" l="1"/>
  <c r="C8"/>
  <c r="D8"/>
  <c r="H7"/>
  <c r="G7"/>
  <c r="B8" i="2"/>
  <c r="D7"/>
  <c r="C7"/>
  <c r="E7" s="1"/>
  <c r="K6"/>
  <c r="J6"/>
  <c r="H8" i="4" l="1"/>
  <c r="G8"/>
  <c r="D9"/>
  <c r="B10"/>
  <c r="C9"/>
  <c r="B9" i="2"/>
  <c r="D8"/>
  <c r="C8"/>
  <c r="E8" s="1"/>
  <c r="J7"/>
  <c r="K7"/>
  <c r="H9" i="4" l="1"/>
  <c r="G9"/>
  <c r="B11"/>
  <c r="C10"/>
  <c r="D10"/>
  <c r="B10" i="2"/>
  <c r="D9"/>
  <c r="C9"/>
  <c r="E9" s="1"/>
  <c r="K8"/>
  <c r="J8"/>
  <c r="B12" i="4" l="1"/>
  <c r="B13" s="1"/>
  <c r="D11"/>
  <c r="C11"/>
  <c r="H10"/>
  <c r="G10"/>
  <c r="B11" i="2"/>
  <c r="D10"/>
  <c r="C10"/>
  <c r="E10" s="1"/>
  <c r="J9"/>
  <c r="K9"/>
  <c r="B14" i="4" l="1"/>
  <c r="D13"/>
  <c r="C13"/>
  <c r="D12"/>
  <c r="C12"/>
  <c r="H11"/>
  <c r="G11"/>
  <c r="B12" i="2"/>
  <c r="D11"/>
  <c r="C11"/>
  <c r="E11" s="1"/>
  <c r="K10"/>
  <c r="J10"/>
  <c r="B15" i="4" l="1"/>
  <c r="D14"/>
  <c r="C14"/>
  <c r="H13"/>
  <c r="G13"/>
  <c r="H12"/>
  <c r="H23" s="1"/>
  <c r="L15" s="1"/>
  <c r="G12"/>
  <c r="G23" s="1"/>
  <c r="L11" s="1"/>
  <c r="L14" s="1"/>
  <c r="D12" i="2"/>
  <c r="C12"/>
  <c r="E12" s="1"/>
  <c r="J11"/>
  <c r="K11"/>
  <c r="B16" i="4" l="1"/>
  <c r="D15"/>
  <c r="C15"/>
  <c r="H14"/>
  <c r="G14"/>
  <c r="K12" i="2"/>
  <c r="J12"/>
  <c r="B17" i="4" l="1"/>
  <c r="D16"/>
  <c r="C16"/>
  <c r="H15"/>
  <c r="G15"/>
  <c r="B18" l="1"/>
  <c r="D17"/>
  <c r="C17"/>
  <c r="H16"/>
  <c r="G16"/>
  <c r="B19" l="1"/>
  <c r="D18"/>
  <c r="C18"/>
  <c r="H17"/>
  <c r="G17"/>
  <c r="B20" l="1"/>
  <c r="D19"/>
  <c r="C19"/>
  <c r="H18"/>
  <c r="G18"/>
  <c r="B21" l="1"/>
  <c r="D20"/>
  <c r="C20"/>
  <c r="H19"/>
  <c r="G19"/>
  <c r="B22" l="1"/>
  <c r="D21"/>
  <c r="C21"/>
  <c r="H20"/>
  <c r="G20"/>
  <c r="D22" l="1"/>
  <c r="C22"/>
  <c r="H21"/>
  <c r="G21"/>
  <c r="H22" l="1"/>
  <c r="G22"/>
</calcChain>
</file>

<file path=xl/sharedStrings.xml><?xml version="1.0" encoding="utf-8"?>
<sst xmlns="http://schemas.openxmlformats.org/spreadsheetml/2006/main" count="61" uniqueCount="40">
  <si>
    <t>xi</t>
  </si>
  <si>
    <t>f(x)</t>
  </si>
  <si>
    <t>x</t>
  </si>
  <si>
    <t>c</t>
  </si>
  <si>
    <t>cf</t>
  </si>
  <si>
    <t>h</t>
  </si>
  <si>
    <t>I</t>
  </si>
  <si>
    <t>xicp</t>
  </si>
  <si>
    <t>yi</t>
  </si>
  <si>
    <t>yicp</t>
  </si>
  <si>
    <t>ciл</t>
  </si>
  <si>
    <t>ciпр</t>
  </si>
  <si>
    <t>сiтр</t>
  </si>
  <si>
    <t>сiпараб</t>
  </si>
  <si>
    <t>с*y лев</t>
  </si>
  <si>
    <t>с*y пр</t>
  </si>
  <si>
    <t>с*y трап</t>
  </si>
  <si>
    <t>с*y параб</t>
  </si>
  <si>
    <t>h=</t>
  </si>
  <si>
    <t>a=</t>
  </si>
  <si>
    <t>b=</t>
  </si>
  <si>
    <t>n=</t>
  </si>
  <si>
    <t>суммы</t>
  </si>
  <si>
    <t>c*y сред</t>
  </si>
  <si>
    <t>I лев</t>
  </si>
  <si>
    <t>I пр</t>
  </si>
  <si>
    <t>I сред</t>
  </si>
  <si>
    <t>I трап</t>
  </si>
  <si>
    <t>I параб</t>
  </si>
  <si>
    <t>dл=</t>
  </si>
  <si>
    <t>dп=</t>
  </si>
  <si>
    <t>dс=</t>
  </si>
  <si>
    <t>dтр=</t>
  </si>
  <si>
    <t>dпар=</t>
  </si>
  <si>
    <t>ел=</t>
  </si>
  <si>
    <t>еп=</t>
  </si>
  <si>
    <t>еср=</t>
  </si>
  <si>
    <t>етр=</t>
  </si>
  <si>
    <t>епар=</t>
  </si>
  <si>
    <t>точное знач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</si>
</sst>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00%"/>
    <numFmt numFmtId="167" formatCode="0.00000"/>
  </numFmts>
  <fonts count="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7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2" fontId="0" fillId="0" borderId="1" xfId="0" applyNumberFormat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6" fontId="0" fillId="7" borderId="1" xfId="1" applyNumberFormat="1" applyFon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right"/>
    </xf>
    <xf numFmtId="167" fontId="0" fillId="7" borderId="2" xfId="0" applyNumberFormat="1" applyFill="1" applyBorder="1" applyAlignment="1">
      <alignment horizontal="center"/>
    </xf>
    <xf numFmtId="0" fontId="0" fillId="0" borderId="2" xfId="0" applyFill="1" applyBorder="1" applyAlignment="1">
      <alignment horizontal="right"/>
    </xf>
    <xf numFmtId="0" fontId="0" fillId="0" borderId="3" xfId="0" applyFill="1" applyBorder="1" applyAlignment="1">
      <alignment horizontal="right"/>
    </xf>
    <xf numFmtId="167" fontId="0" fillId="0" borderId="3" xfId="0" applyNumberFormat="1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166" fontId="0" fillId="0" borderId="0" xfId="1" applyNumberFormat="1" applyFont="1" applyFill="1" applyBorder="1" applyAlignment="1">
      <alignment horizontal="center"/>
    </xf>
    <xf numFmtId="0" fontId="0" fillId="0" borderId="0" xfId="0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9524</xdr:colOff>
      <xdr:row>4</xdr:row>
      <xdr:rowOff>22104</xdr:rowOff>
    </xdr:from>
    <xdr:to>
      <xdr:col>19</xdr:col>
      <xdr:colOff>228599</xdr:colOff>
      <xdr:row>7</xdr:row>
      <xdr:rowOff>155020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43924" y="784104"/>
          <a:ext cx="3724275" cy="7044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9524</xdr:colOff>
      <xdr:row>4</xdr:row>
      <xdr:rowOff>22104</xdr:rowOff>
    </xdr:from>
    <xdr:to>
      <xdr:col>13</xdr:col>
      <xdr:colOff>228599</xdr:colOff>
      <xdr:row>7</xdr:row>
      <xdr:rowOff>155020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153524" y="784104"/>
          <a:ext cx="3724275" cy="7044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selection activeCell="B2" sqref="B2"/>
    </sheetView>
  </sheetViews>
  <sheetFormatPr defaultRowHeight="15"/>
  <sheetData>
    <row r="1" spans="1:6">
      <c r="A1" t="s">
        <v>2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>
      <c r="A2">
        <v>0</v>
      </c>
    </row>
    <row r="3" spans="1:6">
      <c r="A3">
        <v>0.125</v>
      </c>
    </row>
    <row r="4" spans="1:6">
      <c r="A4">
        <v>0.25</v>
      </c>
    </row>
    <row r="5" spans="1:6">
      <c r="A5">
        <v>0.375</v>
      </c>
    </row>
    <row r="6" spans="1:6">
      <c r="A6">
        <v>0.5</v>
      </c>
    </row>
    <row r="7" spans="1:6">
      <c r="A7">
        <v>0.625</v>
      </c>
    </row>
    <row r="8" spans="1:6">
      <c r="A8">
        <v>0.75</v>
      </c>
    </row>
    <row r="9" spans="1:6">
      <c r="A9">
        <v>0.875</v>
      </c>
    </row>
    <row r="10" spans="1:6">
      <c r="A10">
        <v>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3"/>
  <sheetViews>
    <sheetView zoomScaleNormal="100" workbookViewId="0">
      <selection activeCell="D2" sqref="D2"/>
    </sheetView>
  </sheetViews>
  <sheetFormatPr defaultRowHeight="15"/>
  <cols>
    <col min="16" max="16" width="11.85546875" customWidth="1"/>
    <col min="18" max="18" width="22.42578125" customWidth="1"/>
  </cols>
  <sheetData>
    <row r="1" spans="1:18">
      <c r="A1" s="5" t="s">
        <v>6</v>
      </c>
      <c r="B1" s="5" t="s">
        <v>0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23</v>
      </c>
      <c r="M1" s="5" t="s">
        <v>16</v>
      </c>
      <c r="N1" s="5" t="s">
        <v>17</v>
      </c>
      <c r="O1" s="6"/>
      <c r="P1" s="4" t="s">
        <v>18</v>
      </c>
      <c r="Q1" s="7">
        <f>(Q3-Q2)/Q4</f>
        <v>0.1</v>
      </c>
      <c r="R1" s="6"/>
    </row>
    <row r="2" spans="1:18">
      <c r="A2" s="7">
        <v>0</v>
      </c>
      <c r="B2" s="8">
        <v>0.8</v>
      </c>
      <c r="C2" s="8">
        <f>B2+$Q$1/2</f>
        <v>0.85000000000000009</v>
      </c>
      <c r="D2" s="8">
        <f>SQRT(0.8*B2^2+1)/(B2+SQRT(1.5*B2^2+2))</f>
        <v>0.48786000434811372</v>
      </c>
      <c r="E2" s="8">
        <f>SQRT(0.8*C2^2+1)/(C2+SQRT(1.5*C2^2+2))</f>
        <v>0.48202430109928929</v>
      </c>
      <c r="F2" s="9">
        <v>1</v>
      </c>
      <c r="G2" s="9">
        <v>0</v>
      </c>
      <c r="H2" s="10">
        <v>0.5</v>
      </c>
      <c r="I2" s="11">
        <v>0.33333333333333331</v>
      </c>
      <c r="J2" s="8">
        <f>F2*D2</f>
        <v>0.48786000434811372</v>
      </c>
      <c r="K2" s="8">
        <f>G2*D2</f>
        <v>0</v>
      </c>
      <c r="L2" s="8">
        <f>E2*F2</f>
        <v>0.48202430109928929</v>
      </c>
      <c r="M2" s="8">
        <f>H2*D2</f>
        <v>0.24393000217405686</v>
      </c>
      <c r="N2" s="8">
        <f>I2*D2</f>
        <v>0.16262000144937122</v>
      </c>
      <c r="O2" s="6"/>
      <c r="P2" s="4" t="s">
        <v>19</v>
      </c>
      <c r="Q2" s="7">
        <v>0.8</v>
      </c>
      <c r="R2" s="6"/>
    </row>
    <row r="3" spans="1:18">
      <c r="A3" s="7">
        <v>1</v>
      </c>
      <c r="B3" s="8">
        <f>B2+$Q$1</f>
        <v>0.9</v>
      </c>
      <c r="C3" s="8">
        <f t="shared" ref="C3:C12" si="0">B3+$Q$1/2</f>
        <v>0.95000000000000007</v>
      </c>
      <c r="D3" s="8">
        <f t="shared" ref="D3:D12" si="1">SQRT(0.8*B3^2+1)/(B3+SQRT(1.5*B3^2+2))</f>
        <v>0.47668936152094671</v>
      </c>
      <c r="E3" s="8">
        <f t="shared" ref="E3:E12" si="2">SQRT(0.8*C3^2+1)/(C3+SQRT(1.5*C3^2+2))</f>
        <v>0.47180755141179753</v>
      </c>
      <c r="F3" s="9">
        <v>1</v>
      </c>
      <c r="G3" s="9">
        <v>1</v>
      </c>
      <c r="H3" s="9">
        <v>1</v>
      </c>
      <c r="I3" s="11">
        <v>1.3333333333333333</v>
      </c>
      <c r="J3" s="8">
        <f t="shared" ref="J3:J12" si="3">F3*D3</f>
        <v>0.47668936152094671</v>
      </c>
      <c r="K3" s="8">
        <f t="shared" ref="K3:K12" si="4">G3*D3</f>
        <v>0.47668936152094671</v>
      </c>
      <c r="L3" s="8">
        <f t="shared" ref="L3:L12" si="5">E3*F3</f>
        <v>0.47180755141179753</v>
      </c>
      <c r="M3" s="8">
        <f t="shared" ref="M3:M12" si="6">H3*D3</f>
        <v>0.47668936152094671</v>
      </c>
      <c r="N3" s="8">
        <f t="shared" ref="N3:N12" si="7">I3*D3</f>
        <v>0.63558581536126224</v>
      </c>
      <c r="O3" s="6"/>
      <c r="P3" s="4" t="s">
        <v>20</v>
      </c>
      <c r="Q3" s="7">
        <v>1.8</v>
      </c>
      <c r="R3" s="6"/>
    </row>
    <row r="4" spans="1:18">
      <c r="A4" s="7">
        <v>2</v>
      </c>
      <c r="B4" s="8">
        <f t="shared" ref="B4:B12" si="8">B3+$Q$1</f>
        <v>1</v>
      </c>
      <c r="C4" s="8">
        <f t="shared" si="0"/>
        <v>1.05</v>
      </c>
      <c r="D4" s="8">
        <f t="shared" si="1"/>
        <v>0.4673357172409412</v>
      </c>
      <c r="E4" s="8">
        <f t="shared" si="2"/>
        <v>0.46323485311558132</v>
      </c>
      <c r="F4" s="9">
        <v>1</v>
      </c>
      <c r="G4" s="9">
        <v>1</v>
      </c>
      <c r="H4" s="9">
        <v>1</v>
      </c>
      <c r="I4" s="11">
        <v>0.66666666666666663</v>
      </c>
      <c r="J4" s="8">
        <f t="shared" si="3"/>
        <v>0.4673357172409412</v>
      </c>
      <c r="K4" s="8">
        <f t="shared" si="4"/>
        <v>0.4673357172409412</v>
      </c>
      <c r="L4" s="8">
        <f t="shared" si="5"/>
        <v>0.46323485311558132</v>
      </c>
      <c r="M4" s="8">
        <f t="shared" si="6"/>
        <v>0.4673357172409412</v>
      </c>
      <c r="N4" s="8">
        <f t="shared" si="7"/>
        <v>0.31155714482729413</v>
      </c>
      <c r="O4" s="6"/>
      <c r="P4" s="4" t="s">
        <v>21</v>
      </c>
      <c r="Q4" s="7">
        <v>10</v>
      </c>
      <c r="R4" s="6"/>
    </row>
    <row r="5" spans="1:18">
      <c r="A5" s="7">
        <v>3</v>
      </c>
      <c r="B5" s="8">
        <f t="shared" si="8"/>
        <v>1.1000000000000001</v>
      </c>
      <c r="C5" s="8">
        <f t="shared" si="0"/>
        <v>1.1500000000000001</v>
      </c>
      <c r="D5" s="8">
        <f t="shared" si="1"/>
        <v>0.45946976463122485</v>
      </c>
      <c r="E5" s="8">
        <f t="shared" si="2"/>
        <v>0.45600873906338063</v>
      </c>
      <c r="F5" s="9">
        <v>1</v>
      </c>
      <c r="G5" s="9">
        <v>1</v>
      </c>
      <c r="H5" s="9">
        <v>1</v>
      </c>
      <c r="I5" s="11">
        <v>1.3333333333333333</v>
      </c>
      <c r="J5" s="8">
        <f t="shared" si="3"/>
        <v>0.45946976463122485</v>
      </c>
      <c r="K5" s="8">
        <f t="shared" si="4"/>
        <v>0.45946976463122485</v>
      </c>
      <c r="L5" s="8">
        <f t="shared" si="5"/>
        <v>0.45600873906338063</v>
      </c>
      <c r="M5" s="8">
        <f t="shared" si="6"/>
        <v>0.45946976463122485</v>
      </c>
      <c r="N5" s="8">
        <f t="shared" si="7"/>
        <v>0.61262635284163314</v>
      </c>
      <c r="O5" s="6"/>
      <c r="P5" s="6"/>
      <c r="Q5" s="6"/>
      <c r="R5" s="6"/>
    </row>
    <row r="6" spans="1:18">
      <c r="A6" s="7">
        <v>4</v>
      </c>
      <c r="B6" s="8">
        <f t="shared" si="8"/>
        <v>1.2000000000000002</v>
      </c>
      <c r="C6" s="8">
        <f t="shared" si="0"/>
        <v>1.2500000000000002</v>
      </c>
      <c r="D6" s="8">
        <f t="shared" si="1"/>
        <v>0.452823228543075</v>
      </c>
      <c r="E6" s="8">
        <f t="shared" si="2"/>
        <v>0.44988755059773483</v>
      </c>
      <c r="F6" s="9">
        <v>1</v>
      </c>
      <c r="G6" s="9">
        <v>1</v>
      </c>
      <c r="H6" s="9">
        <v>1</v>
      </c>
      <c r="I6" s="11">
        <v>0.66666666666666663</v>
      </c>
      <c r="J6" s="8">
        <f t="shared" si="3"/>
        <v>0.452823228543075</v>
      </c>
      <c r="K6" s="8">
        <f t="shared" si="4"/>
        <v>0.452823228543075</v>
      </c>
      <c r="L6" s="8">
        <f t="shared" si="5"/>
        <v>0.44988755059773483</v>
      </c>
      <c r="M6" s="8">
        <f t="shared" si="6"/>
        <v>0.452823228543075</v>
      </c>
      <c r="N6" s="8">
        <f t="shared" si="7"/>
        <v>0.30188215236204996</v>
      </c>
      <c r="O6" s="6"/>
      <c r="P6" s="6"/>
      <c r="Q6" s="6"/>
      <c r="R6" s="6"/>
    </row>
    <row r="7" spans="1:18">
      <c r="A7" s="7">
        <v>5</v>
      </c>
      <c r="B7" s="8">
        <f t="shared" si="8"/>
        <v>1.3000000000000003</v>
      </c>
      <c r="C7" s="8">
        <f t="shared" si="0"/>
        <v>1.3500000000000003</v>
      </c>
      <c r="D7" s="8">
        <f t="shared" si="1"/>
        <v>0.44717860867596482</v>
      </c>
      <c r="E7" s="8">
        <f t="shared" si="2"/>
        <v>0.44467563393868592</v>
      </c>
      <c r="F7" s="9">
        <v>1</v>
      </c>
      <c r="G7" s="9">
        <v>1</v>
      </c>
      <c r="H7" s="9">
        <v>1</v>
      </c>
      <c r="I7" s="11">
        <v>1.3333333333333333</v>
      </c>
      <c r="J7" s="8">
        <f t="shared" si="3"/>
        <v>0.44717860867596482</v>
      </c>
      <c r="K7" s="8">
        <f t="shared" si="4"/>
        <v>0.44717860867596482</v>
      </c>
      <c r="L7" s="8">
        <f t="shared" si="5"/>
        <v>0.44467563393868592</v>
      </c>
      <c r="M7" s="8">
        <f t="shared" si="6"/>
        <v>0.44717860867596482</v>
      </c>
      <c r="N7" s="8">
        <f t="shared" si="7"/>
        <v>0.59623814490128635</v>
      </c>
      <c r="O7" s="6"/>
      <c r="P7" s="6"/>
      <c r="Q7" s="6"/>
      <c r="R7" s="6"/>
    </row>
    <row r="8" spans="1:18">
      <c r="A8" s="7">
        <v>6</v>
      </c>
      <c r="B8" s="8">
        <f t="shared" si="8"/>
        <v>1.4000000000000004</v>
      </c>
      <c r="C8" s="8">
        <f t="shared" si="0"/>
        <v>1.4500000000000004</v>
      </c>
      <c r="D8" s="8">
        <f t="shared" si="1"/>
        <v>0.44235994861706029</v>
      </c>
      <c r="E8" s="8">
        <f t="shared" si="2"/>
        <v>0.44021475054088954</v>
      </c>
      <c r="F8" s="9">
        <v>1</v>
      </c>
      <c r="G8" s="9">
        <v>1</v>
      </c>
      <c r="H8" s="9">
        <v>1</v>
      </c>
      <c r="I8" s="11">
        <v>0.66666666666666663</v>
      </c>
      <c r="J8" s="8">
        <f t="shared" si="3"/>
        <v>0.44235994861706029</v>
      </c>
      <c r="K8" s="8">
        <f t="shared" si="4"/>
        <v>0.44235994861706029</v>
      </c>
      <c r="L8" s="8">
        <f t="shared" si="5"/>
        <v>0.44021475054088954</v>
      </c>
      <c r="M8" s="8">
        <f t="shared" si="6"/>
        <v>0.44235994861706029</v>
      </c>
      <c r="N8" s="8">
        <f t="shared" si="7"/>
        <v>0.29490663241137349</v>
      </c>
      <c r="O8" s="6"/>
      <c r="P8" s="6"/>
      <c r="Q8" s="6"/>
      <c r="R8" s="6"/>
    </row>
    <row r="9" spans="1:18">
      <c r="A9" s="7">
        <v>7</v>
      </c>
      <c r="B9" s="8">
        <f t="shared" si="8"/>
        <v>1.5000000000000004</v>
      </c>
      <c r="C9" s="8">
        <f t="shared" si="0"/>
        <v>1.5500000000000005</v>
      </c>
      <c r="D9" s="8">
        <f t="shared" si="1"/>
        <v>0.43822491796862012</v>
      </c>
      <c r="E9" s="8">
        <f t="shared" si="2"/>
        <v>0.43637683354959006</v>
      </c>
      <c r="F9" s="9">
        <v>1</v>
      </c>
      <c r="G9" s="9">
        <v>1</v>
      </c>
      <c r="H9" s="9">
        <v>1</v>
      </c>
      <c r="I9" s="11">
        <v>1.3333333333333333</v>
      </c>
      <c r="J9" s="8">
        <f t="shared" si="3"/>
        <v>0.43822491796862012</v>
      </c>
      <c r="K9" s="8">
        <f t="shared" si="4"/>
        <v>0.43822491796862012</v>
      </c>
      <c r="L9" s="8">
        <f t="shared" si="5"/>
        <v>0.43637683354959006</v>
      </c>
      <c r="M9" s="8">
        <f t="shared" si="6"/>
        <v>0.43822491796862012</v>
      </c>
      <c r="N9" s="8">
        <f t="shared" si="7"/>
        <v>0.58429989062482679</v>
      </c>
      <c r="O9" s="6"/>
      <c r="P9" s="7" t="s">
        <v>39</v>
      </c>
      <c r="Q9" s="12">
        <v>0.45079000000000002</v>
      </c>
      <c r="R9" s="6"/>
    </row>
    <row r="10" spans="1:18">
      <c r="A10" s="7">
        <v>8</v>
      </c>
      <c r="B10" s="8">
        <f t="shared" si="8"/>
        <v>1.6000000000000005</v>
      </c>
      <c r="C10" s="8">
        <f t="shared" si="0"/>
        <v>1.6500000000000006</v>
      </c>
      <c r="D10" s="8">
        <f t="shared" si="1"/>
        <v>0.43465822607762855</v>
      </c>
      <c r="E10" s="8">
        <f t="shared" si="2"/>
        <v>0.43305802861789516</v>
      </c>
      <c r="F10" s="9">
        <v>1</v>
      </c>
      <c r="G10" s="9">
        <v>1</v>
      </c>
      <c r="H10" s="9">
        <v>1</v>
      </c>
      <c r="I10" s="11">
        <v>0.66666666666666663</v>
      </c>
      <c r="J10" s="8">
        <f t="shared" si="3"/>
        <v>0.43465822607762855</v>
      </c>
      <c r="K10" s="8">
        <f t="shared" si="4"/>
        <v>0.43465822607762855</v>
      </c>
      <c r="L10" s="8">
        <f t="shared" si="5"/>
        <v>0.43305802861789516</v>
      </c>
      <c r="M10" s="8">
        <f t="shared" si="6"/>
        <v>0.43465822607762855</v>
      </c>
      <c r="N10" s="8">
        <f t="shared" si="7"/>
        <v>0.289772150718419</v>
      </c>
      <c r="O10" s="6"/>
      <c r="P10" s="6"/>
      <c r="Q10" s="6"/>
      <c r="R10" s="6"/>
    </row>
    <row r="11" spans="1:18">
      <c r="A11" s="7">
        <v>9</v>
      </c>
      <c r="B11" s="8">
        <f t="shared" si="8"/>
        <v>1.7000000000000006</v>
      </c>
      <c r="C11" s="8">
        <f t="shared" si="0"/>
        <v>1.7500000000000007</v>
      </c>
      <c r="D11" s="8">
        <f t="shared" si="1"/>
        <v>0.43156625157863887</v>
      </c>
      <c r="E11" s="8">
        <f t="shared" si="2"/>
        <v>0.4301738693353101</v>
      </c>
      <c r="F11" s="9">
        <v>1</v>
      </c>
      <c r="G11" s="9">
        <v>1</v>
      </c>
      <c r="H11" s="9">
        <v>1</v>
      </c>
      <c r="I11" s="11">
        <v>1.3333333333333333</v>
      </c>
      <c r="J11" s="8">
        <f t="shared" si="3"/>
        <v>0.43156625157863887</v>
      </c>
      <c r="K11" s="8">
        <f t="shared" si="4"/>
        <v>0.43156625157863887</v>
      </c>
      <c r="L11" s="8">
        <f t="shared" si="5"/>
        <v>0.4301738693353101</v>
      </c>
      <c r="M11" s="8">
        <f t="shared" si="6"/>
        <v>0.43156625157863887</v>
      </c>
      <c r="N11" s="8">
        <f t="shared" si="7"/>
        <v>0.57542166877151846</v>
      </c>
      <c r="O11" s="6"/>
      <c r="P11" s="6"/>
      <c r="Q11" s="1" t="s">
        <v>29</v>
      </c>
      <c r="R11" s="18">
        <f>ABS($J$16-$Q$9)</f>
        <v>3.0266029202214439E-3</v>
      </c>
    </row>
    <row r="12" spans="1:18">
      <c r="A12" s="7">
        <v>10</v>
      </c>
      <c r="B12" s="8">
        <f t="shared" si="8"/>
        <v>1.8000000000000007</v>
      </c>
      <c r="C12" s="8">
        <f t="shared" si="0"/>
        <v>1.8500000000000008</v>
      </c>
      <c r="D12" s="8">
        <f t="shared" si="1"/>
        <v>0.42887271908024582</v>
      </c>
      <c r="E12" s="8">
        <f t="shared" si="2"/>
        <v>0.42765541065515816</v>
      </c>
      <c r="F12" s="9">
        <v>0</v>
      </c>
      <c r="G12" s="9">
        <v>1</v>
      </c>
      <c r="H12" s="10">
        <v>0.5</v>
      </c>
      <c r="I12" s="11">
        <v>0.33333333333333331</v>
      </c>
      <c r="J12" s="8">
        <f t="shared" si="3"/>
        <v>0</v>
      </c>
      <c r="K12" s="8">
        <f t="shared" si="4"/>
        <v>0.42887271908024582</v>
      </c>
      <c r="L12" s="8">
        <f t="shared" si="5"/>
        <v>0</v>
      </c>
      <c r="M12" s="8">
        <f t="shared" si="6"/>
        <v>0.21443635954012291</v>
      </c>
      <c r="N12" s="8">
        <f t="shared" si="7"/>
        <v>0.14295757302674861</v>
      </c>
      <c r="O12" s="6"/>
      <c r="P12" s="6"/>
      <c r="Q12" s="2" t="s">
        <v>30</v>
      </c>
      <c r="R12" s="18">
        <f>ABS($K$16-Q$9)</f>
        <v>2.8721256065653566E-3</v>
      </c>
    </row>
    <row r="13" spans="1:18">
      <c r="A13" s="6"/>
      <c r="B13" s="13"/>
      <c r="C13" s="13"/>
      <c r="D13" s="13"/>
      <c r="E13" s="13"/>
      <c r="F13" s="13"/>
      <c r="G13" s="13"/>
      <c r="H13" s="13"/>
      <c r="I13" s="14" t="s">
        <v>22</v>
      </c>
      <c r="J13" s="15">
        <f>SUM(J2:J12)</f>
        <v>4.5381660292022143</v>
      </c>
      <c r="K13" s="15">
        <f t="shared" ref="K13:N13" si="9">SUM(K2:K12)</f>
        <v>4.4791787439343462</v>
      </c>
      <c r="L13" s="15">
        <f t="shared" si="9"/>
        <v>4.5074621112701552</v>
      </c>
      <c r="M13" s="15">
        <f t="shared" si="9"/>
        <v>4.5086723865682803</v>
      </c>
      <c r="N13" s="15">
        <f t="shared" si="9"/>
        <v>4.5078675272957831</v>
      </c>
      <c r="O13" s="6"/>
      <c r="P13" s="6"/>
      <c r="Q13" s="1" t="s">
        <v>31</v>
      </c>
      <c r="R13" s="18">
        <f>ABS($L$16-Q$9)</f>
        <v>4.3788872984507066E-5</v>
      </c>
    </row>
    <row r="14" spans="1:18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2" t="s">
        <v>32</v>
      </c>
      <c r="R14" s="18">
        <f>ABS($M$16-Q$9)</f>
        <v>7.7238656828015895E-5</v>
      </c>
    </row>
    <row r="15" spans="1:18">
      <c r="A15" s="6"/>
      <c r="B15" s="6"/>
      <c r="C15" s="6"/>
      <c r="D15" s="6"/>
      <c r="E15" s="6"/>
      <c r="F15" s="6"/>
      <c r="G15" s="6"/>
      <c r="H15" s="6"/>
      <c r="I15" s="6"/>
      <c r="J15" s="6" t="s">
        <v>24</v>
      </c>
      <c r="K15" s="6" t="s">
        <v>25</v>
      </c>
      <c r="L15" s="6" t="s">
        <v>26</v>
      </c>
      <c r="M15" s="6" t="s">
        <v>27</v>
      </c>
      <c r="N15" s="6" t="s">
        <v>28</v>
      </c>
      <c r="O15" s="6"/>
      <c r="P15" s="6"/>
      <c r="Q15" s="1" t="s">
        <v>33</v>
      </c>
      <c r="R15" s="18">
        <f>ABS($N$16-Q$9)</f>
        <v>3.2472704216690573E-6</v>
      </c>
    </row>
    <row r="16" spans="1:18">
      <c r="A16" s="6"/>
      <c r="B16" s="6"/>
      <c r="C16" s="6"/>
      <c r="D16" s="6"/>
      <c r="E16" s="6"/>
      <c r="F16" s="6"/>
      <c r="G16" s="6"/>
      <c r="H16" s="6"/>
      <c r="I16" s="6"/>
      <c r="J16" s="16">
        <f>J13*$Q$1</f>
        <v>0.45381660292022147</v>
      </c>
      <c r="K16" s="16">
        <f t="shared" ref="K16:N16" si="10">K13*$Q$1</f>
        <v>0.44791787439343467</v>
      </c>
      <c r="L16" s="16">
        <f t="shared" si="10"/>
        <v>0.45074621112701552</v>
      </c>
      <c r="M16" s="16">
        <f t="shared" si="10"/>
        <v>0.45086723865682804</v>
      </c>
      <c r="N16" s="16">
        <f t="shared" si="10"/>
        <v>0.45078675272957835</v>
      </c>
      <c r="O16" s="6"/>
      <c r="P16" s="6"/>
      <c r="Q16" s="3"/>
      <c r="R16" s="6"/>
    </row>
    <row r="17" spans="1:18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3"/>
      <c r="R17" s="6"/>
    </row>
    <row r="18" spans="1: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3"/>
      <c r="R18" s="6"/>
    </row>
    <row r="19" spans="1:18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1" t="s">
        <v>34</v>
      </c>
      <c r="R19" s="17">
        <f>R$11/$Q$9</f>
        <v>6.7139974715975147E-3</v>
      </c>
    </row>
    <row r="20" spans="1:18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2" t="s">
        <v>35</v>
      </c>
      <c r="R20" s="17">
        <f>R$12/$Q$9</f>
        <v>6.3713161484623805E-3</v>
      </c>
    </row>
    <row r="21" spans="1:18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1" t="s">
        <v>36</v>
      </c>
      <c r="R21" s="17">
        <f>R$13/$Q$9</f>
        <v>9.7138075344411066E-5</v>
      </c>
    </row>
    <row r="22" spans="1:18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2" t="s">
        <v>37</v>
      </c>
      <c r="R22" s="17">
        <f>R$14/$Q$9</f>
        <v>1.7134066156750569E-4</v>
      </c>
    </row>
    <row r="23" spans="1:18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1" t="s">
        <v>38</v>
      </c>
      <c r="R23" s="17">
        <f>R$15/$Q$9</f>
        <v>7.2035103300185387E-6</v>
      </c>
    </row>
  </sheetData>
  <pageMargins left="0.7" right="0.7" top="0.75" bottom="0.75" header="0.3" footer="0.3"/>
  <pageSetup paperSize="9" orientation="portrait" horizontalDpi="18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7"/>
  <sheetViews>
    <sheetView tabSelected="1" zoomScaleNormal="100" workbookViewId="0">
      <selection activeCell="C3" sqref="C3"/>
    </sheetView>
  </sheetViews>
  <sheetFormatPr defaultRowHeight="15"/>
  <cols>
    <col min="6" max="6" width="9.28515625" bestFit="1" customWidth="1"/>
    <col min="10" max="10" width="11.85546875" customWidth="1"/>
    <col min="12" max="12" width="22.42578125" customWidth="1"/>
  </cols>
  <sheetData>
    <row r="1" spans="1:12">
      <c r="A1" s="5" t="s">
        <v>6</v>
      </c>
      <c r="B1" s="5" t="s">
        <v>0</v>
      </c>
      <c r="C1" s="5" t="s">
        <v>7</v>
      </c>
      <c r="D1" s="5" t="s">
        <v>8</v>
      </c>
      <c r="E1" s="5" t="s">
        <v>10</v>
      </c>
      <c r="F1" s="5" t="s">
        <v>13</v>
      </c>
      <c r="G1" s="5" t="s">
        <v>14</v>
      </c>
      <c r="H1" s="5" t="s">
        <v>17</v>
      </c>
      <c r="I1" s="6"/>
      <c r="J1" s="4" t="s">
        <v>18</v>
      </c>
      <c r="K1" s="7">
        <f>(K3-K2)/K4</f>
        <v>0.05</v>
      </c>
      <c r="L1" s="6"/>
    </row>
    <row r="2" spans="1:12">
      <c r="A2" s="7">
        <v>0</v>
      </c>
      <c r="B2" s="8">
        <v>0.8</v>
      </c>
      <c r="C2" s="8">
        <f>B2+$K$1/2</f>
        <v>0.82500000000000007</v>
      </c>
      <c r="D2" s="8">
        <f>SQRT(0.8*B2^2+1)/(B2+SQRT(1.5*B2^2+2))</f>
        <v>0.48786000434811372</v>
      </c>
      <c r="E2" s="9">
        <v>1</v>
      </c>
      <c r="F2" s="11">
        <v>0.33333333333333331</v>
      </c>
      <c r="G2" s="8">
        <f>E2*D2</f>
        <v>0.48786000434811372</v>
      </c>
      <c r="H2" s="8">
        <f>F2*D2</f>
        <v>0.16262000144937122</v>
      </c>
      <c r="I2" s="6"/>
      <c r="J2" s="4" t="s">
        <v>19</v>
      </c>
      <c r="K2" s="7">
        <v>0.8</v>
      </c>
      <c r="L2" s="6"/>
    </row>
    <row r="3" spans="1:12">
      <c r="A3" s="7">
        <v>1</v>
      </c>
      <c r="B3" s="8">
        <f>B2+$K$1</f>
        <v>0.85000000000000009</v>
      </c>
      <c r="C3" s="8">
        <f t="shared" ref="C3:C22" si="0">B3+$K$1/2</f>
        <v>0.87500000000000011</v>
      </c>
      <c r="D3" s="8">
        <f t="shared" ref="D3:D22" si="1">SQRT(0.8*B3^2+1)/(B3+SQRT(1.5*B3^2+2))</f>
        <v>0.48202430109928929</v>
      </c>
      <c r="E3" s="9">
        <v>1</v>
      </c>
      <c r="F3" s="11">
        <v>1.3333333333333333</v>
      </c>
      <c r="G3" s="8">
        <f>E3*D3</f>
        <v>0.48202430109928929</v>
      </c>
      <c r="H3" s="8">
        <f>F3*D3</f>
        <v>0.64269906813238564</v>
      </c>
      <c r="I3" s="6"/>
      <c r="J3" s="4" t="s">
        <v>20</v>
      </c>
      <c r="K3" s="7">
        <v>1.8</v>
      </c>
      <c r="L3" s="6"/>
    </row>
    <row r="4" spans="1:12">
      <c r="A4" s="7">
        <v>2</v>
      </c>
      <c r="B4" s="8">
        <f t="shared" ref="B4:B22" si="2">B3+$K$1</f>
        <v>0.90000000000000013</v>
      </c>
      <c r="C4" s="8">
        <f t="shared" si="0"/>
        <v>0.92500000000000016</v>
      </c>
      <c r="D4" s="8">
        <f t="shared" si="1"/>
        <v>0.47668936152094671</v>
      </c>
      <c r="E4" s="9">
        <v>1</v>
      </c>
      <c r="F4" s="11">
        <v>0.66666666666666663</v>
      </c>
      <c r="G4" s="8">
        <f>E4*D4</f>
        <v>0.47668936152094671</v>
      </c>
      <c r="H4" s="8">
        <f>F4*D4</f>
        <v>0.31779290768063112</v>
      </c>
      <c r="I4" s="6"/>
      <c r="J4" s="4" t="s">
        <v>21</v>
      </c>
      <c r="K4" s="7">
        <v>20</v>
      </c>
      <c r="L4" s="6"/>
    </row>
    <row r="5" spans="1:12">
      <c r="A5" s="7">
        <v>3</v>
      </c>
      <c r="B5" s="8">
        <f t="shared" si="2"/>
        <v>0.95000000000000018</v>
      </c>
      <c r="C5" s="8">
        <f t="shared" si="0"/>
        <v>0.9750000000000002</v>
      </c>
      <c r="D5" s="8">
        <f t="shared" si="1"/>
        <v>0.47180755141179753</v>
      </c>
      <c r="E5" s="9">
        <v>1</v>
      </c>
      <c r="F5" s="11">
        <v>1.3333333333333333</v>
      </c>
      <c r="G5" s="8">
        <f>E5*D5</f>
        <v>0.47180755141179753</v>
      </c>
      <c r="H5" s="8">
        <f>F5*D5</f>
        <v>0.62907673521573004</v>
      </c>
      <c r="I5" s="6"/>
      <c r="J5" s="6"/>
      <c r="K5" s="6"/>
      <c r="L5" s="6"/>
    </row>
    <row r="6" spans="1:12">
      <c r="A6" s="7">
        <v>4</v>
      </c>
      <c r="B6" s="8">
        <f t="shared" si="2"/>
        <v>1.0000000000000002</v>
      </c>
      <c r="C6" s="8">
        <f t="shared" si="0"/>
        <v>1.0250000000000001</v>
      </c>
      <c r="D6" s="8">
        <f t="shared" si="1"/>
        <v>0.46733571724094103</v>
      </c>
      <c r="E6" s="9">
        <v>1</v>
      </c>
      <c r="F6" s="11">
        <v>0.66666666666666663</v>
      </c>
      <c r="G6" s="8">
        <f>E6*D6</f>
        <v>0.46733571724094103</v>
      </c>
      <c r="H6" s="8">
        <f>F6*D6</f>
        <v>0.31155714482729402</v>
      </c>
      <c r="I6" s="6"/>
      <c r="J6" s="6"/>
      <c r="K6" s="6"/>
      <c r="L6" s="6"/>
    </row>
    <row r="7" spans="1:12">
      <c r="A7" s="7">
        <v>5</v>
      </c>
      <c r="B7" s="8">
        <f t="shared" si="2"/>
        <v>1.0500000000000003</v>
      </c>
      <c r="C7" s="8">
        <f t="shared" si="0"/>
        <v>1.0750000000000002</v>
      </c>
      <c r="D7" s="8">
        <f t="shared" si="1"/>
        <v>0.46323485311558127</v>
      </c>
      <c r="E7" s="9">
        <v>1</v>
      </c>
      <c r="F7" s="11">
        <v>1.3333333333333333</v>
      </c>
      <c r="G7" s="8">
        <f>E7*D7</f>
        <v>0.46323485311558127</v>
      </c>
      <c r="H7" s="8">
        <f>F7*D7</f>
        <v>0.61764647082077495</v>
      </c>
      <c r="I7" s="6"/>
      <c r="J7" s="6"/>
      <c r="K7" s="6"/>
      <c r="L7" s="6"/>
    </row>
    <row r="8" spans="1:12">
      <c r="A8" s="7">
        <v>6</v>
      </c>
      <c r="B8" s="8">
        <f t="shared" si="2"/>
        <v>1.1000000000000003</v>
      </c>
      <c r="C8" s="8">
        <f t="shared" si="0"/>
        <v>1.1250000000000002</v>
      </c>
      <c r="D8" s="8">
        <f t="shared" si="1"/>
        <v>0.45946976463122485</v>
      </c>
      <c r="E8" s="9">
        <v>1</v>
      </c>
      <c r="F8" s="11">
        <v>0.66666666666666663</v>
      </c>
      <c r="G8" s="8">
        <f>E8*D8</f>
        <v>0.45946976463122485</v>
      </c>
      <c r="H8" s="8">
        <f>F8*D8</f>
        <v>0.30631317642081657</v>
      </c>
      <c r="I8" s="6"/>
      <c r="J8" s="6"/>
      <c r="K8" s="6"/>
      <c r="L8" s="6"/>
    </row>
    <row r="9" spans="1:12">
      <c r="A9" s="7">
        <v>7</v>
      </c>
      <c r="B9" s="8">
        <f t="shared" si="2"/>
        <v>1.1500000000000004</v>
      </c>
      <c r="C9" s="8">
        <f t="shared" si="0"/>
        <v>1.1750000000000003</v>
      </c>
      <c r="D9" s="8">
        <f t="shared" si="1"/>
        <v>0.45600873906338052</v>
      </c>
      <c r="E9" s="9">
        <v>1</v>
      </c>
      <c r="F9" s="11">
        <v>1.3333333333333333</v>
      </c>
      <c r="G9" s="8">
        <f>E9*D9</f>
        <v>0.45600873906338052</v>
      </c>
      <c r="H9" s="8">
        <f>F9*D9</f>
        <v>0.60801165208450736</v>
      </c>
      <c r="I9" s="6"/>
      <c r="J9" s="7" t="s">
        <v>39</v>
      </c>
      <c r="K9" s="12">
        <v>0.45079000000000002</v>
      </c>
      <c r="L9" s="6"/>
    </row>
    <row r="10" spans="1:12">
      <c r="A10" s="7">
        <v>8</v>
      </c>
      <c r="B10" s="8">
        <f t="shared" si="2"/>
        <v>1.2000000000000004</v>
      </c>
      <c r="C10" s="8">
        <f t="shared" si="0"/>
        <v>1.2250000000000003</v>
      </c>
      <c r="D10" s="8">
        <f t="shared" si="1"/>
        <v>0.452823228543075</v>
      </c>
      <c r="E10" s="9">
        <v>1</v>
      </c>
      <c r="F10" s="11">
        <v>0.66666666666666663</v>
      </c>
      <c r="G10" s="8">
        <f>E10*D10</f>
        <v>0.452823228543075</v>
      </c>
      <c r="H10" s="8">
        <f>F10*D10</f>
        <v>0.30188215236204996</v>
      </c>
      <c r="I10" s="6"/>
      <c r="J10" s="6"/>
      <c r="K10" s="6"/>
      <c r="L10" s="6"/>
    </row>
    <row r="11" spans="1:12">
      <c r="A11" s="7">
        <v>9</v>
      </c>
      <c r="B11" s="8">
        <f t="shared" si="2"/>
        <v>1.2500000000000004</v>
      </c>
      <c r="C11" s="8">
        <f t="shared" si="0"/>
        <v>1.2750000000000004</v>
      </c>
      <c r="D11" s="8">
        <f t="shared" si="1"/>
        <v>0.44988755059773483</v>
      </c>
      <c r="E11" s="9">
        <v>1</v>
      </c>
      <c r="F11" s="11">
        <v>1.3333333333333333</v>
      </c>
      <c r="G11" s="8">
        <f>E11*D11</f>
        <v>0.44988755059773483</v>
      </c>
      <c r="H11" s="8">
        <f>F11*D11</f>
        <v>0.59985006746364644</v>
      </c>
      <c r="I11" s="6"/>
      <c r="J11" s="6"/>
      <c r="K11" s="1" t="s">
        <v>29</v>
      </c>
      <c r="L11" s="18">
        <f>ABS($G$26-$K$9)</f>
        <v>0.19507401598759749</v>
      </c>
    </row>
    <row r="12" spans="1:12">
      <c r="A12" s="7">
        <v>10</v>
      </c>
      <c r="B12" s="8">
        <f t="shared" si="2"/>
        <v>1.3000000000000005</v>
      </c>
      <c r="C12" s="8">
        <f t="shared" si="0"/>
        <v>1.3250000000000004</v>
      </c>
      <c r="D12" s="8">
        <f t="shared" si="1"/>
        <v>0.44717860867596482</v>
      </c>
      <c r="E12" s="9">
        <v>1</v>
      </c>
      <c r="F12" s="11">
        <v>0.66666666666666663</v>
      </c>
      <c r="G12" s="8">
        <f>E12*D12</f>
        <v>0.44717860867596482</v>
      </c>
      <c r="H12" s="8">
        <f>F12*D12</f>
        <v>0.29811907245064317</v>
      </c>
      <c r="I12" s="6"/>
      <c r="J12" s="6"/>
      <c r="K12" s="21" t="s">
        <v>33</v>
      </c>
      <c r="L12" s="20">
        <f>ABS($H$26-K$9)</f>
        <v>0.21101157755460748</v>
      </c>
    </row>
    <row r="13" spans="1:12">
      <c r="A13" s="7">
        <v>11</v>
      </c>
      <c r="B13" s="8">
        <f t="shared" si="2"/>
        <v>1.3500000000000005</v>
      </c>
      <c r="C13" s="8">
        <f t="shared" si="0"/>
        <v>1.3750000000000004</v>
      </c>
      <c r="D13" s="8">
        <f t="shared" si="1"/>
        <v>0.44467563393868587</v>
      </c>
      <c r="E13" s="9">
        <v>1</v>
      </c>
      <c r="F13" s="11">
        <v>1.3333333333333333</v>
      </c>
      <c r="G13" s="8">
        <f t="shared" ref="G13:G22" si="3">E13*D13</f>
        <v>0.44467563393868587</v>
      </c>
      <c r="H13" s="8">
        <f t="shared" ref="H13:H22" si="4">F13*D13</f>
        <v>0.59290084525158115</v>
      </c>
      <c r="I13" s="6"/>
      <c r="J13" s="6"/>
      <c r="K13" s="22"/>
      <c r="L13" s="23"/>
    </row>
    <row r="14" spans="1:12">
      <c r="A14" s="7">
        <v>12</v>
      </c>
      <c r="B14" s="8">
        <f t="shared" si="2"/>
        <v>1.4000000000000006</v>
      </c>
      <c r="C14" s="8">
        <f t="shared" si="0"/>
        <v>1.4250000000000005</v>
      </c>
      <c r="D14" s="8">
        <f t="shared" si="1"/>
        <v>0.44235994861706029</v>
      </c>
      <c r="E14" s="9">
        <v>1</v>
      </c>
      <c r="F14" s="11">
        <v>0.66666666666666663</v>
      </c>
      <c r="G14" s="8">
        <f t="shared" si="3"/>
        <v>0.44235994861706029</v>
      </c>
      <c r="H14" s="8">
        <f t="shared" si="4"/>
        <v>0.29490663241137349</v>
      </c>
      <c r="I14" s="6"/>
      <c r="J14" s="6"/>
      <c r="K14" s="1" t="s">
        <v>34</v>
      </c>
      <c r="L14" s="17">
        <f>L$11/$K$9</f>
        <v>0.43273811749949531</v>
      </c>
    </row>
    <row r="15" spans="1:12">
      <c r="A15" s="7">
        <v>13</v>
      </c>
      <c r="B15" s="8">
        <f t="shared" si="2"/>
        <v>1.4500000000000006</v>
      </c>
      <c r="C15" s="8">
        <f t="shared" si="0"/>
        <v>1.4750000000000005</v>
      </c>
      <c r="D15" s="8">
        <f t="shared" si="1"/>
        <v>0.44021475054088954</v>
      </c>
      <c r="E15" s="9">
        <v>1</v>
      </c>
      <c r="F15" s="11">
        <v>1.3333333333333333</v>
      </c>
      <c r="G15" s="8">
        <f t="shared" si="3"/>
        <v>0.44021475054088954</v>
      </c>
      <c r="H15" s="8">
        <f t="shared" si="4"/>
        <v>0.58695300072118606</v>
      </c>
      <c r="I15" s="6"/>
      <c r="J15" s="6"/>
      <c r="K15" s="19" t="s">
        <v>38</v>
      </c>
      <c r="L15" s="17">
        <f>L$12/$K$9</f>
        <v>0.46809285377805065</v>
      </c>
    </row>
    <row r="16" spans="1:12">
      <c r="A16" s="7">
        <v>14</v>
      </c>
      <c r="B16" s="8">
        <f t="shared" si="2"/>
        <v>1.5000000000000007</v>
      </c>
      <c r="C16" s="8">
        <f t="shared" si="0"/>
        <v>1.5250000000000006</v>
      </c>
      <c r="D16" s="8">
        <f t="shared" si="1"/>
        <v>0.43822491796862018</v>
      </c>
      <c r="E16" s="9">
        <v>1</v>
      </c>
      <c r="F16" s="11">
        <v>0.66666666666666663</v>
      </c>
      <c r="G16" s="8">
        <f t="shared" si="3"/>
        <v>0.43822491796862018</v>
      </c>
      <c r="H16" s="8">
        <f t="shared" si="4"/>
        <v>0.29214994531241345</v>
      </c>
      <c r="I16" s="6"/>
      <c r="J16" s="6"/>
      <c r="K16" s="3"/>
      <c r="L16" s="6"/>
    </row>
    <row r="17" spans="1:12">
      <c r="A17" s="7">
        <v>15</v>
      </c>
      <c r="B17" s="8">
        <f t="shared" si="2"/>
        <v>1.5500000000000007</v>
      </c>
      <c r="C17" s="8">
        <f t="shared" si="0"/>
        <v>1.5750000000000006</v>
      </c>
      <c r="D17" s="8">
        <f t="shared" si="1"/>
        <v>0.43637683354959</v>
      </c>
      <c r="E17" s="9">
        <v>1</v>
      </c>
      <c r="F17" s="11">
        <v>1.3333333333333333</v>
      </c>
      <c r="G17" s="8">
        <f t="shared" si="3"/>
        <v>0.43637683354959</v>
      </c>
      <c r="H17" s="8">
        <f t="shared" si="4"/>
        <v>0.58183577806611997</v>
      </c>
      <c r="I17" s="6"/>
      <c r="J17" s="6"/>
      <c r="K17" s="3"/>
      <c r="L17" s="6"/>
    </row>
    <row r="18" spans="1:12">
      <c r="A18" s="7">
        <v>16</v>
      </c>
      <c r="B18" s="8">
        <f t="shared" si="2"/>
        <v>1.6000000000000008</v>
      </c>
      <c r="C18" s="8">
        <f t="shared" si="0"/>
        <v>1.6250000000000007</v>
      </c>
      <c r="D18" s="8">
        <f t="shared" si="1"/>
        <v>0.43465822607762861</v>
      </c>
      <c r="E18" s="9">
        <v>1</v>
      </c>
      <c r="F18" s="11">
        <v>0.66666666666666663</v>
      </c>
      <c r="G18" s="8">
        <f t="shared" si="3"/>
        <v>0.43465822607762861</v>
      </c>
      <c r="H18" s="8">
        <f t="shared" si="4"/>
        <v>0.28977215071841905</v>
      </c>
      <c r="I18" s="6"/>
      <c r="J18" s="6"/>
      <c r="K18" s="3"/>
      <c r="L18" s="6"/>
    </row>
    <row r="19" spans="1:12">
      <c r="A19" s="7">
        <v>17</v>
      </c>
      <c r="B19" s="8">
        <f t="shared" si="2"/>
        <v>1.6500000000000008</v>
      </c>
      <c r="C19" s="8">
        <f t="shared" si="0"/>
        <v>1.6750000000000007</v>
      </c>
      <c r="D19" s="8">
        <f t="shared" si="1"/>
        <v>0.43305802861789505</v>
      </c>
      <c r="E19" s="9">
        <v>1</v>
      </c>
      <c r="F19" s="11">
        <v>1.3333333333333333</v>
      </c>
      <c r="G19" s="8">
        <f t="shared" si="3"/>
        <v>0.43305802861789505</v>
      </c>
      <c r="H19" s="8">
        <f t="shared" si="4"/>
        <v>0.57741070482386003</v>
      </c>
      <c r="I19" s="6"/>
      <c r="J19" s="6"/>
    </row>
    <row r="20" spans="1:12">
      <c r="A20" s="7">
        <v>18</v>
      </c>
      <c r="B20" s="8">
        <f t="shared" si="2"/>
        <v>1.7000000000000008</v>
      </c>
      <c r="C20" s="8">
        <f t="shared" si="0"/>
        <v>1.7250000000000008</v>
      </c>
      <c r="D20" s="8">
        <f t="shared" si="1"/>
        <v>0.43156625157863893</v>
      </c>
      <c r="E20" s="9">
        <v>1</v>
      </c>
      <c r="F20" s="11">
        <v>0.66666666666666663</v>
      </c>
      <c r="G20" s="8">
        <f t="shared" si="3"/>
        <v>0.43156625157863893</v>
      </c>
      <c r="H20" s="8">
        <f t="shared" si="4"/>
        <v>0.28771083438575928</v>
      </c>
      <c r="I20" s="6"/>
      <c r="J20" s="6"/>
      <c r="K20" s="26"/>
      <c r="L20" s="26"/>
    </row>
    <row r="21" spans="1:12">
      <c r="A21" s="7">
        <v>19</v>
      </c>
      <c r="B21" s="8">
        <f t="shared" si="2"/>
        <v>1.7500000000000009</v>
      </c>
      <c r="C21" s="8">
        <f t="shared" si="0"/>
        <v>1.7750000000000008</v>
      </c>
      <c r="D21" s="8">
        <f t="shared" si="1"/>
        <v>0.43017386933531004</v>
      </c>
      <c r="E21" s="9">
        <v>1</v>
      </c>
      <c r="F21" s="11">
        <v>1.3333333333333333</v>
      </c>
      <c r="G21" s="8">
        <f t="shared" si="3"/>
        <v>0.43017386933531004</v>
      </c>
      <c r="H21" s="8">
        <f t="shared" si="4"/>
        <v>0.57356515911374673</v>
      </c>
      <c r="I21" s="6"/>
      <c r="J21" s="6"/>
      <c r="K21" s="24"/>
      <c r="L21" s="25"/>
    </row>
    <row r="22" spans="1:12">
      <c r="A22" s="7">
        <v>20</v>
      </c>
      <c r="B22" s="8">
        <f t="shared" si="2"/>
        <v>1.8000000000000009</v>
      </c>
      <c r="C22" s="8">
        <f t="shared" si="0"/>
        <v>1.8250000000000008</v>
      </c>
      <c r="D22" s="8">
        <f t="shared" si="1"/>
        <v>0.42887271908024577</v>
      </c>
      <c r="E22" s="7">
        <v>0</v>
      </c>
      <c r="F22" s="11">
        <v>0.33333333333333331</v>
      </c>
      <c r="G22" s="8">
        <f t="shared" si="3"/>
        <v>0</v>
      </c>
      <c r="H22" s="8">
        <f t="shared" si="4"/>
        <v>0.14295757302674858</v>
      </c>
      <c r="I22" s="6"/>
      <c r="J22" s="6"/>
      <c r="K22" s="24"/>
      <c r="L22" s="25"/>
    </row>
    <row r="23" spans="1:12">
      <c r="A23" s="6"/>
      <c r="B23" s="6"/>
      <c r="C23" s="6"/>
      <c r="D23" s="6"/>
      <c r="E23" s="6"/>
      <c r="F23" s="14" t="s">
        <v>22</v>
      </c>
      <c r="G23" s="15">
        <f>SUM(G2:G12)</f>
        <v>5.1143196802480499</v>
      </c>
      <c r="H23" s="15">
        <f>SUM(H2:H12)</f>
        <v>4.7955684489078507</v>
      </c>
      <c r="I23" s="6"/>
      <c r="J23" s="6"/>
    </row>
    <row r="25" spans="1:12">
      <c r="F25" s="6"/>
      <c r="G25" s="6" t="s">
        <v>24</v>
      </c>
      <c r="H25" s="6" t="s">
        <v>28</v>
      </c>
    </row>
    <row r="26" spans="1:12">
      <c r="F26" s="6"/>
      <c r="G26" s="16">
        <f>G23*$K$1</f>
        <v>0.25571598401240253</v>
      </c>
      <c r="H26" s="16">
        <f>H23*$K$1</f>
        <v>0.23977842244539255</v>
      </c>
    </row>
    <row r="27" spans="1:12">
      <c r="F27" s="6"/>
    </row>
  </sheetData>
  <pageMargins left="0.7" right="0.7" top="0.75" bottom="0.75" header="0.3" footer="0.3"/>
  <pageSetup paperSize="9" orientation="portrait" horizontalDpi="18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Лист2 (2)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2025-11-28T09:00:04Z</dcterms:modified>
</cp:coreProperties>
</file>