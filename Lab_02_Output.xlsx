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4.1_Bisection" sheetId="1" state="visible" r:id="rId1"/>
    <sheet xmlns:r="http://schemas.openxmlformats.org/officeDocument/2006/relationships" name="Task_4.2_It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Задание 4.1: Метод половинного деления</t>
        </is>
      </c>
    </row>
    <row r="2">
      <c r="A2" t="inlineStr">
        <is>
          <t>Уравнение: x^3 - 3x^2 + 2.5 = 0</t>
        </is>
      </c>
    </row>
    <row r="3">
      <c r="A3" t="inlineStr">
        <is>
          <t>Точность ε = 0.01</t>
        </is>
      </c>
    </row>
    <row r="5">
      <c r="A5" s="2" t="inlineStr">
        <is>
          <t>n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x = (a+b)/2</t>
        </is>
      </c>
      <c r="E5" s="2" t="inlineStr">
        <is>
          <t>f(a)</t>
        </is>
      </c>
      <c r="F5" s="2" t="inlineStr">
        <is>
          <t>f(x)</t>
        </is>
      </c>
      <c r="G5" s="2" t="inlineStr">
        <is>
          <t>|b-a|</t>
        </is>
      </c>
      <c r="H5" s="2" t="inlineStr">
        <is>
          <t>Условие</t>
        </is>
      </c>
    </row>
    <row r="6">
      <c r="A6" s="3" t="n">
        <v>0</v>
      </c>
      <c r="B6" s="4" t="n">
        <v>1</v>
      </c>
      <c r="C6" s="4" t="n">
        <v>2</v>
      </c>
      <c r="D6" s="4">
        <f>(B6+C6)/2</f>
        <v/>
      </c>
      <c r="E6" s="4">
        <f>(B6^3 - 3*B6^2 + 2.5)</f>
        <v/>
      </c>
      <c r="F6" s="4">
        <f>(D6^3 - 3*D6^2 + 2.5)</f>
        <v/>
      </c>
      <c r="G6" s="4">
        <f>ABS(C6-B6)</f>
        <v/>
      </c>
      <c r="H6" s="3">
        <f>IF(G6&lt;=0.01, "Корень найден", "")</f>
        <v/>
      </c>
    </row>
    <row r="7">
      <c r="A7" s="3" t="n">
        <v>1</v>
      </c>
      <c r="B7" s="4">
        <f>IF(E6*F6&lt;0, B6, D6)</f>
        <v/>
      </c>
      <c r="C7" s="4">
        <f>IF(E6*F6&lt;0, D6, C6)</f>
        <v/>
      </c>
      <c r="D7" s="4">
        <f>(B7+C7)/2</f>
        <v/>
      </c>
      <c r="E7" s="4">
        <f>(B7^3 - 3*B7^2 + 2.5)</f>
        <v/>
      </c>
      <c r="F7" s="4">
        <f>(D7^3 - 3*D7^2 + 2.5)</f>
        <v/>
      </c>
      <c r="G7" s="4">
        <f>ABS(C7-B7)</f>
        <v/>
      </c>
      <c r="H7" s="3">
        <f>IF(G7&lt;=0.01, "Корень найден", "")</f>
        <v/>
      </c>
    </row>
    <row r="8">
      <c r="A8" s="3" t="n">
        <v>2</v>
      </c>
      <c r="B8" s="4">
        <f>IF(E7*F7&lt;0, B7, D7)</f>
        <v/>
      </c>
      <c r="C8" s="4">
        <f>IF(E7*F7&lt;0, D7, C7)</f>
        <v/>
      </c>
      <c r="D8" s="4">
        <f>(B8+C8)/2</f>
        <v/>
      </c>
      <c r="E8" s="4">
        <f>(B8^3 - 3*B8^2 + 2.5)</f>
        <v/>
      </c>
      <c r="F8" s="4">
        <f>(D8^3 - 3*D8^2 + 2.5)</f>
        <v/>
      </c>
      <c r="G8" s="4">
        <f>ABS(C8-B8)</f>
        <v/>
      </c>
      <c r="H8" s="3">
        <f>IF(G8&lt;=0.01, "Корень найден", "")</f>
        <v/>
      </c>
    </row>
    <row r="9">
      <c r="A9" s="3" t="n">
        <v>3</v>
      </c>
      <c r="B9" s="4">
        <f>IF(E8*F8&lt;0, B8, D8)</f>
        <v/>
      </c>
      <c r="C9" s="4">
        <f>IF(E8*F8&lt;0, D8, C8)</f>
        <v/>
      </c>
      <c r="D9" s="4">
        <f>(B9+C9)/2</f>
        <v/>
      </c>
      <c r="E9" s="4">
        <f>(B9^3 - 3*B9^2 + 2.5)</f>
        <v/>
      </c>
      <c r="F9" s="4">
        <f>(D9^3 - 3*D9^2 + 2.5)</f>
        <v/>
      </c>
      <c r="G9" s="4">
        <f>ABS(C9-B9)</f>
        <v/>
      </c>
      <c r="H9" s="3">
        <f>IF(G9&lt;=0.01, "Корень найден", "")</f>
        <v/>
      </c>
    </row>
    <row r="10">
      <c r="A10" s="3" t="n">
        <v>4</v>
      </c>
      <c r="B10" s="4">
        <f>IF(E9*F9&lt;0, B9, D9)</f>
        <v/>
      </c>
      <c r="C10" s="4">
        <f>IF(E9*F9&lt;0, D9, C9)</f>
        <v/>
      </c>
      <c r="D10" s="4">
        <f>(B10+C10)/2</f>
        <v/>
      </c>
      <c r="E10" s="4">
        <f>(B10^3 - 3*B10^2 + 2.5)</f>
        <v/>
      </c>
      <c r="F10" s="4">
        <f>(D10^3 - 3*D10^2 + 2.5)</f>
        <v/>
      </c>
      <c r="G10" s="4">
        <f>ABS(C10-B10)</f>
        <v/>
      </c>
      <c r="H10" s="3">
        <f>IF(G10&lt;=0.01, "Корень найден", "")</f>
        <v/>
      </c>
    </row>
    <row r="11">
      <c r="A11" s="3" t="n">
        <v>5</v>
      </c>
      <c r="B11" s="4">
        <f>IF(E10*F10&lt;0, B10, D10)</f>
        <v/>
      </c>
      <c r="C11" s="4">
        <f>IF(E10*F10&lt;0, D10, C10)</f>
        <v/>
      </c>
      <c r="D11" s="4">
        <f>(B11+C11)/2</f>
        <v/>
      </c>
      <c r="E11" s="4">
        <f>(B11^3 - 3*B11^2 + 2.5)</f>
        <v/>
      </c>
      <c r="F11" s="4">
        <f>(D11^3 - 3*D11^2 + 2.5)</f>
        <v/>
      </c>
      <c r="G11" s="4">
        <f>ABS(C11-B11)</f>
        <v/>
      </c>
      <c r="H11" s="3">
        <f>IF(G11&lt;=0.01, "Корень найден", "")</f>
        <v/>
      </c>
    </row>
    <row r="12">
      <c r="A12" s="3" t="n">
        <v>6</v>
      </c>
      <c r="B12" s="4">
        <f>IF(E11*F11&lt;0, B11, D11)</f>
        <v/>
      </c>
      <c r="C12" s="4">
        <f>IF(E11*F11&lt;0, D11, C11)</f>
        <v/>
      </c>
      <c r="D12" s="4">
        <f>(B12+C12)/2</f>
        <v/>
      </c>
      <c r="E12" s="4">
        <f>(B12^3 - 3*B12^2 + 2.5)</f>
        <v/>
      </c>
      <c r="F12" s="4">
        <f>(D12^3 - 3*D12^2 + 2.5)</f>
        <v/>
      </c>
      <c r="G12" s="4">
        <f>ABS(C12-B12)</f>
        <v/>
      </c>
      <c r="H12" s="3">
        <f>IF(G12&lt;=0.01, "Корень найден", "")</f>
        <v/>
      </c>
    </row>
    <row r="13">
      <c r="A13" s="3" t="n">
        <v>7</v>
      </c>
      <c r="B13" s="4">
        <f>IF(E12*F12&lt;0, B12, D12)</f>
        <v/>
      </c>
      <c r="C13" s="4">
        <f>IF(E12*F12&lt;0, D12, C12)</f>
        <v/>
      </c>
      <c r="D13" s="4">
        <f>(B13+C13)/2</f>
        <v/>
      </c>
      <c r="E13" s="4">
        <f>(B13^3 - 3*B13^2 + 2.5)</f>
        <v/>
      </c>
      <c r="F13" s="4">
        <f>(D13^3 - 3*D13^2 + 2.5)</f>
        <v/>
      </c>
      <c r="G13" s="4">
        <f>ABS(C13-B13)</f>
        <v/>
      </c>
      <c r="H13" s="3">
        <f>IF(G13&lt;=0.01, "Корень найден", "")</f>
        <v/>
      </c>
    </row>
    <row r="14">
      <c r="A14" s="3" t="n">
        <v>8</v>
      </c>
      <c r="B14" s="4">
        <f>IF(E13*F13&lt;0, B13, D13)</f>
        <v/>
      </c>
      <c r="C14" s="4">
        <f>IF(E13*F13&lt;0, D13, C13)</f>
        <v/>
      </c>
      <c r="D14" s="4">
        <f>(B14+C14)/2</f>
        <v/>
      </c>
      <c r="E14" s="4">
        <f>(B14^3 - 3*B14^2 + 2.5)</f>
        <v/>
      </c>
      <c r="F14" s="4">
        <f>(D14^3 - 3*D14^2 + 2.5)</f>
        <v/>
      </c>
      <c r="G14" s="4">
        <f>ABS(C14-B14)</f>
        <v/>
      </c>
      <c r="H14" s="3">
        <f>IF(G14&lt;=0.01, "Корень найден", "")</f>
        <v/>
      </c>
    </row>
    <row r="15">
      <c r="A15" s="3" t="n">
        <v>9</v>
      </c>
      <c r="B15" s="4">
        <f>IF(E14*F14&lt;0, B14, D14)</f>
        <v/>
      </c>
      <c r="C15" s="4">
        <f>IF(E14*F14&lt;0, D14, C14)</f>
        <v/>
      </c>
      <c r="D15" s="4">
        <f>(B15+C15)/2</f>
        <v/>
      </c>
      <c r="E15" s="4">
        <f>(B15^3 - 3*B15^2 + 2.5)</f>
        <v/>
      </c>
      <c r="F15" s="4">
        <f>(D15^3 - 3*D15^2 + 2.5)</f>
        <v/>
      </c>
      <c r="G15" s="4">
        <f>ABS(C15-B15)</f>
        <v/>
      </c>
      <c r="H15" s="3">
        <f>IF(G15&lt;=0.01, "Корень найден", "")</f>
        <v/>
      </c>
    </row>
    <row r="16">
      <c r="A16" s="3" t="n">
        <v>10</v>
      </c>
      <c r="B16" s="4">
        <f>IF(E15*F15&lt;0, B15, D15)</f>
        <v/>
      </c>
      <c r="C16" s="4">
        <f>IF(E15*F15&lt;0, D15, C15)</f>
        <v/>
      </c>
      <c r="D16" s="4">
        <f>(B16+C16)/2</f>
        <v/>
      </c>
      <c r="E16" s="4">
        <f>(B16^3 - 3*B16^2 + 2.5)</f>
        <v/>
      </c>
      <c r="F16" s="4">
        <f>(D16^3 - 3*D16^2 + 2.5)</f>
        <v/>
      </c>
      <c r="G16" s="4">
        <f>ABS(C16-B16)</f>
        <v/>
      </c>
      <c r="H16" s="3">
        <f>IF(G16&lt;=0.01, "Корень найден", "")</f>
        <v/>
      </c>
    </row>
    <row r="17">
      <c r="A17" s="3" t="n">
        <v>11</v>
      </c>
      <c r="B17" s="4">
        <f>IF(E16*F16&lt;0, B16, D16)</f>
        <v/>
      </c>
      <c r="C17" s="4">
        <f>IF(E16*F16&lt;0, D16, C16)</f>
        <v/>
      </c>
      <c r="D17" s="4">
        <f>(B17+C17)/2</f>
        <v/>
      </c>
      <c r="E17" s="4">
        <f>(B17^3 - 3*B17^2 + 2.5)</f>
        <v/>
      </c>
      <c r="F17" s="4">
        <f>(D17^3 - 3*D17^2 + 2.5)</f>
        <v/>
      </c>
      <c r="G17" s="4">
        <f>ABS(C17-B17)</f>
        <v/>
      </c>
      <c r="H17" s="3">
        <f>IF(G17&lt;=0.01, "Корень найден", "")</f>
        <v/>
      </c>
    </row>
    <row r="18">
      <c r="A18" s="3" t="n">
        <v>12</v>
      </c>
      <c r="B18" s="4">
        <f>IF(E17*F17&lt;0, B17, D17)</f>
        <v/>
      </c>
      <c r="C18" s="4">
        <f>IF(E17*F17&lt;0, D17, C17)</f>
        <v/>
      </c>
      <c r="D18" s="4">
        <f>(B18+C18)/2</f>
        <v/>
      </c>
      <c r="E18" s="4">
        <f>(B18^3 - 3*B18^2 + 2.5)</f>
        <v/>
      </c>
      <c r="F18" s="4">
        <f>(D18^3 - 3*D18^2 + 2.5)</f>
        <v/>
      </c>
      <c r="G18" s="4">
        <f>ABS(C18-B18)</f>
        <v/>
      </c>
      <c r="H18" s="3">
        <f>IF(G18&lt;=0.01, "Корень найден", "")</f>
        <v/>
      </c>
    </row>
    <row r="19">
      <c r="A19" s="3" t="n">
        <v>13</v>
      </c>
      <c r="B19" s="4">
        <f>IF(E18*F18&lt;0, B18, D18)</f>
        <v/>
      </c>
      <c r="C19" s="4">
        <f>IF(E18*F18&lt;0, D18, C18)</f>
        <v/>
      </c>
      <c r="D19" s="4">
        <f>(B19+C19)/2</f>
        <v/>
      </c>
      <c r="E19" s="4">
        <f>(B19^3 - 3*B19^2 + 2.5)</f>
        <v/>
      </c>
      <c r="F19" s="4">
        <f>(D19^3 - 3*D19^2 + 2.5)</f>
        <v/>
      </c>
      <c r="G19" s="4">
        <f>ABS(C19-B19)</f>
        <v/>
      </c>
      <c r="H19" s="3">
        <f>IF(G19&lt;=0.01, "Корень найден", "")</f>
        <v/>
      </c>
    </row>
    <row r="20">
      <c r="A20" s="3" t="n">
        <v>14</v>
      </c>
      <c r="B20" s="4">
        <f>IF(E19*F19&lt;0, B19, D19)</f>
        <v/>
      </c>
      <c r="C20" s="4">
        <f>IF(E19*F19&lt;0, D19, C19)</f>
        <v/>
      </c>
      <c r="D20" s="4">
        <f>(B20+C20)/2</f>
        <v/>
      </c>
      <c r="E20" s="4">
        <f>(B20^3 - 3*B20^2 + 2.5)</f>
        <v/>
      </c>
      <c r="F20" s="4">
        <f>(D20^3 - 3*D20^2 + 2.5)</f>
        <v/>
      </c>
      <c r="G20" s="4">
        <f>ABS(C20-B20)</f>
        <v/>
      </c>
      <c r="H20" s="3">
        <f>IF(G20&lt;=0.01, "Корень найден", "")</f>
        <v/>
      </c>
    </row>
  </sheetData>
  <conditionalFormatting sqref="A6:H20">
    <cfRule type="expression" priority="1" dxfId="0" stopIfTrue="1">
      <formula>$H6&lt;&gt;""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Задание 4.2: Метод простых итераций</t>
        </is>
      </c>
    </row>
    <row r="2">
      <c r="A2" t="inlineStr">
        <is>
          <t>Уравнение: 2x - lg(x) = 7  =&gt;  x = 3.5 + 0.5*lg(x)</t>
        </is>
      </c>
    </row>
    <row r="3">
      <c r="A3" t="inlineStr">
        <is>
          <t>Точность ε = 0.001</t>
        </is>
      </c>
    </row>
    <row r="5">
      <c r="A5" s="2" t="inlineStr">
        <is>
          <t>n</t>
        </is>
      </c>
      <c r="B5" s="2" t="inlineStr">
        <is>
          <t>x_n</t>
        </is>
      </c>
      <c r="C5" s="2" t="inlineStr">
        <is>
          <t>x_{n+1} = φ(x_n)</t>
        </is>
      </c>
      <c r="D5" s="2" t="inlineStr">
        <is>
          <t>|x_{n+1} - x_n|</t>
        </is>
      </c>
      <c r="E5" s="2" t="inlineStr">
        <is>
          <t>Условие</t>
        </is>
      </c>
    </row>
    <row r="6">
      <c r="A6" s="3" t="n">
        <v>0</v>
      </c>
      <c r="B6" s="4" t="n">
        <v>4</v>
      </c>
      <c r="C6" s="4">
        <f>3.5 + 0.5*LOG10(B6)</f>
        <v/>
      </c>
      <c r="D6" s="4" t="inlineStr">
        <is>
          <t>-</t>
        </is>
      </c>
      <c r="E6" s="3" t="n"/>
    </row>
    <row r="7">
      <c r="A7" s="3" t="n">
        <v>1</v>
      </c>
      <c r="B7" s="4">
        <f>C6</f>
        <v/>
      </c>
      <c r="C7" s="4">
        <f>3.5 + 0.5*LOG10(B7)</f>
        <v/>
      </c>
      <c r="D7" s="4">
        <f>ABS(C7-B7)</f>
        <v/>
      </c>
      <c r="E7" s="3">
        <f>IF(D7&lt;=0.001, "Корень найден: " &amp; FIXED(C7, 4), "")</f>
        <v/>
      </c>
    </row>
    <row r="8">
      <c r="A8" s="3" t="n">
        <v>2</v>
      </c>
      <c r="B8" s="4">
        <f>C7</f>
        <v/>
      </c>
      <c r="C8" s="4">
        <f>3.5 + 0.5*LOG10(B8)</f>
        <v/>
      </c>
      <c r="D8" s="4">
        <f>ABS(C8-B8)</f>
        <v/>
      </c>
      <c r="E8" s="3">
        <f>IF(D8&lt;=0.001, "Корень найден: " &amp; FIXED(C8, 4), "")</f>
        <v/>
      </c>
    </row>
    <row r="9">
      <c r="A9" s="3" t="n">
        <v>3</v>
      </c>
      <c r="B9" s="4">
        <f>C8</f>
        <v/>
      </c>
      <c r="C9" s="4">
        <f>3.5 + 0.5*LOG10(B9)</f>
        <v/>
      </c>
      <c r="D9" s="4">
        <f>ABS(C9-B9)</f>
        <v/>
      </c>
      <c r="E9" s="3">
        <f>IF(D9&lt;=0.001, "Корень найден: " &amp; FIXED(C9, 4), "")</f>
        <v/>
      </c>
    </row>
    <row r="10">
      <c r="A10" s="3" t="n">
        <v>4</v>
      </c>
      <c r="B10" s="4">
        <f>C9</f>
        <v/>
      </c>
      <c r="C10" s="4">
        <f>3.5 + 0.5*LOG10(B10)</f>
        <v/>
      </c>
      <c r="D10" s="4">
        <f>ABS(C10-B10)</f>
        <v/>
      </c>
      <c r="E10" s="3">
        <f>IF(D10&lt;=0.001, "Корень найден: " &amp; FIXED(C10, 4), "")</f>
        <v/>
      </c>
    </row>
    <row r="11">
      <c r="A11" s="3" t="n">
        <v>5</v>
      </c>
      <c r="B11" s="4">
        <f>C10</f>
        <v/>
      </c>
      <c r="C11" s="4">
        <f>3.5 + 0.5*LOG10(B11)</f>
        <v/>
      </c>
      <c r="D11" s="4">
        <f>ABS(C11-B11)</f>
        <v/>
      </c>
      <c r="E11" s="3">
        <f>IF(D11&lt;=0.001, "Корень найден: " &amp; FIXED(C11, 4), "")</f>
        <v/>
      </c>
    </row>
    <row r="12">
      <c r="A12" s="3" t="n">
        <v>6</v>
      </c>
      <c r="B12" s="4">
        <f>C11</f>
        <v/>
      </c>
      <c r="C12" s="4">
        <f>3.5 + 0.5*LOG10(B12)</f>
        <v/>
      </c>
      <c r="D12" s="4">
        <f>ABS(C12-B12)</f>
        <v/>
      </c>
      <c r="E12" s="3">
        <f>IF(D12&lt;=0.001, "Корень найден: " &amp; FIXED(C12, 4), "")</f>
        <v/>
      </c>
    </row>
    <row r="13">
      <c r="A13" s="3" t="n">
        <v>7</v>
      </c>
      <c r="B13" s="4">
        <f>C12</f>
        <v/>
      </c>
      <c r="C13" s="4">
        <f>3.5 + 0.5*LOG10(B13)</f>
        <v/>
      </c>
      <c r="D13" s="4">
        <f>ABS(C13-B13)</f>
        <v/>
      </c>
      <c r="E13" s="3">
        <f>IF(D13&lt;=0.001, "Корень найден: " &amp; FIXED(C13, 4), "")</f>
        <v/>
      </c>
    </row>
    <row r="14">
      <c r="A14" s="3" t="n">
        <v>8</v>
      </c>
      <c r="B14" s="4">
        <f>C13</f>
        <v/>
      </c>
      <c r="C14" s="4">
        <f>3.5 + 0.5*LOG10(B14)</f>
        <v/>
      </c>
      <c r="D14" s="4">
        <f>ABS(C14-B14)</f>
        <v/>
      </c>
      <c r="E14" s="3">
        <f>IF(D14&lt;=0.001, "Корень найден: " &amp; FIXED(C14, 4), "")</f>
        <v/>
      </c>
    </row>
    <row r="15">
      <c r="A15" s="3" t="n">
        <v>9</v>
      </c>
      <c r="B15" s="4">
        <f>C14</f>
        <v/>
      </c>
      <c r="C15" s="4">
        <f>3.5 + 0.5*LOG10(B15)</f>
        <v/>
      </c>
      <c r="D15" s="4">
        <f>ABS(C15-B15)</f>
        <v/>
      </c>
      <c r="E15" s="3">
        <f>IF(D15&lt;=0.001, "Корень найден: " &amp; FIXED(C15, 4), "")</f>
        <v/>
      </c>
    </row>
  </sheetData>
  <conditionalFormatting sqref="A6:E15">
    <cfRule type="expression" priority="1" dxfId="0" stopIfTrue="1">
      <formula>$E6&lt;&gt;""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2025-12-05T23:45:05Z</dcterms:created>
  <dcterms:modified xmlns:dcterms="http://purl.org/dc/terms/" xmlns:xsi="http://www.w3.org/2001/XMLSchema-instance" xsi:type="dcterms:W3CDTF">2025-12-05T23:45:05Z</dcterms:modified>
</cp:coreProperties>
</file>