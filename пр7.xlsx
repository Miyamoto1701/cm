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8755" windowHeight="12585"/>
  </bookViews>
  <sheets>
    <sheet name="10" sheetId="1" r:id="rId1"/>
    <sheet name="20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R18" i="2"/>
  <c r="R19"/>
  <c r="R12"/>
  <c r="R11"/>
  <c r="G26"/>
  <c r="C22"/>
  <c r="C21"/>
  <c r="C20"/>
  <c r="C19"/>
  <c r="C18"/>
  <c r="C17"/>
  <c r="C16"/>
  <c r="C15"/>
  <c r="C14"/>
  <c r="C13"/>
  <c r="C12"/>
  <c r="C11"/>
  <c r="C10"/>
  <c r="C9"/>
  <c r="C8"/>
  <c r="C7"/>
  <c r="C6"/>
  <c r="C5"/>
  <c r="C4"/>
  <c r="C3"/>
  <c r="C2"/>
  <c r="B2"/>
  <c r="Q1"/>
  <c r="R19" i="1"/>
  <c r="R20"/>
  <c r="R21"/>
  <c r="R22"/>
  <c r="R18"/>
  <c r="R15"/>
  <c r="R14"/>
  <c r="R13"/>
  <c r="R12"/>
  <c r="R11"/>
  <c r="K16"/>
  <c r="L16"/>
  <c r="M16"/>
  <c r="N16"/>
  <c r="J16"/>
  <c r="K13"/>
  <c r="L13"/>
  <c r="M13"/>
  <c r="N13"/>
  <c r="J13"/>
  <c r="N3"/>
  <c r="N4"/>
  <c r="N5"/>
  <c r="N6"/>
  <c r="N7"/>
  <c r="N8"/>
  <c r="N9"/>
  <c r="N10"/>
  <c r="N11"/>
  <c r="N12"/>
  <c r="N2"/>
  <c r="M3"/>
  <c r="M4"/>
  <c r="M5"/>
  <c r="M6"/>
  <c r="M7"/>
  <c r="M8"/>
  <c r="M9"/>
  <c r="M10"/>
  <c r="M11"/>
  <c r="M12"/>
  <c r="M2"/>
  <c r="L3"/>
  <c r="L4"/>
  <c r="L5"/>
  <c r="L6"/>
  <c r="L7"/>
  <c r="L8"/>
  <c r="L9"/>
  <c r="L10"/>
  <c r="L11"/>
  <c r="L12"/>
  <c r="L2"/>
  <c r="K3"/>
  <c r="K4"/>
  <c r="K5"/>
  <c r="K6"/>
  <c r="K7"/>
  <c r="K8"/>
  <c r="K9"/>
  <c r="K10"/>
  <c r="K11"/>
  <c r="K12"/>
  <c r="K2"/>
  <c r="J3"/>
  <c r="J4"/>
  <c r="J5"/>
  <c r="J6"/>
  <c r="J7"/>
  <c r="J8"/>
  <c r="J9"/>
  <c r="J10"/>
  <c r="J11"/>
  <c r="J12"/>
  <c r="J2"/>
  <c r="E2"/>
  <c r="E3"/>
  <c r="E4"/>
  <c r="E5"/>
  <c r="E6"/>
  <c r="E7"/>
  <c r="E8"/>
  <c r="E9"/>
  <c r="E10"/>
  <c r="E11"/>
  <c r="E12"/>
  <c r="D3"/>
  <c r="D4"/>
  <c r="D5"/>
  <c r="D6"/>
  <c r="D7"/>
  <c r="D8"/>
  <c r="D9"/>
  <c r="D10"/>
  <c r="D11"/>
  <c r="D12"/>
  <c r="D2"/>
  <c r="C3"/>
  <c r="C4"/>
  <c r="C5"/>
  <c r="C6"/>
  <c r="C7"/>
  <c r="C8"/>
  <c r="C9"/>
  <c r="C10"/>
  <c r="C11"/>
  <c r="C12"/>
  <c r="C2"/>
  <c r="B4"/>
  <c r="B5"/>
  <c r="B6" s="1"/>
  <c r="B7" s="1"/>
  <c r="B8" s="1"/>
  <c r="B9" s="1"/>
  <c r="B10" s="1"/>
  <c r="B11" s="1"/>
  <c r="B12" s="1"/>
  <c r="B3"/>
  <c r="B2"/>
  <c r="Q1"/>
  <c r="B3" i="2" l="1"/>
  <c r="F2"/>
  <c r="G2"/>
  <c r="G3" l="1"/>
  <c r="F3"/>
  <c r="B4"/>
  <c r="B5"/>
  <c r="G5" l="1"/>
  <c r="F5"/>
  <c r="G4"/>
  <c r="F4"/>
  <c r="B6"/>
  <c r="G6" l="1"/>
  <c r="F6"/>
  <c r="B7"/>
  <c r="G7" l="1"/>
  <c r="F7"/>
  <c r="B8"/>
  <c r="G8" l="1"/>
  <c r="F8"/>
  <c r="B9"/>
  <c r="G9" l="1"/>
  <c r="F9"/>
  <c r="B10"/>
  <c r="G10" l="1"/>
  <c r="F10"/>
  <c r="B11"/>
  <c r="G11" l="1"/>
  <c r="F11"/>
  <c r="B12"/>
  <c r="G12" l="1"/>
  <c r="F12"/>
  <c r="B13"/>
  <c r="G13" l="1"/>
  <c r="B14"/>
  <c r="F13"/>
  <c r="B15" l="1"/>
  <c r="G14"/>
  <c r="F14"/>
  <c r="B16" l="1"/>
  <c r="G15"/>
  <c r="F15"/>
  <c r="B17" l="1"/>
  <c r="G16"/>
  <c r="F16"/>
  <c r="B18" l="1"/>
  <c r="G17"/>
  <c r="F17"/>
  <c r="B19" l="1"/>
  <c r="G18"/>
  <c r="F18"/>
  <c r="B20" l="1"/>
  <c r="G19"/>
  <c r="F19"/>
  <c r="B21" l="1"/>
  <c r="G20"/>
  <c r="F20"/>
  <c r="B22" l="1"/>
  <c r="G21"/>
  <c r="F21"/>
  <c r="G22" l="1"/>
  <c r="G23" s="1"/>
  <c r="F22"/>
  <c r="F23" s="1"/>
  <c r="F26" s="1"/>
</calcChain>
</file>

<file path=xl/sharedStrings.xml><?xml version="1.0" encoding="utf-8"?>
<sst xmlns="http://schemas.openxmlformats.org/spreadsheetml/2006/main" count="53" uniqueCount="37">
  <si>
    <t>i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</si>
  <si>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</si>
  <si>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icp</t>
    </r>
  </si>
  <si>
    <t>c*y лев</t>
  </si>
  <si>
    <t>c*y пр</t>
  </si>
  <si>
    <t>c*y сред</t>
  </si>
  <si>
    <t>c*y трап</t>
  </si>
  <si>
    <t>c*y параб</t>
  </si>
  <si>
    <t>h=</t>
  </si>
  <si>
    <t>a=</t>
  </si>
  <si>
    <t>b=</t>
  </si>
  <si>
    <t>n=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</si>
  <si>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</si>
  <si>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icp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</si>
  <si>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iл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</si>
  <si>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iпр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</si>
  <si>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iтр</t>
    </r>
  </si>
  <si>
    <r>
      <t>c</t>
    </r>
    <r>
      <rPr>
        <vertAlign val="subscript"/>
        <sz val="11"/>
        <color theme="1"/>
        <rFont val="Calibri"/>
        <family val="2"/>
        <charset val="204"/>
        <scheme val="minor"/>
      </rPr>
      <t>iпараб</t>
    </r>
  </si>
  <si>
    <t>суммы</t>
  </si>
  <si>
    <t>точное значение</t>
  </si>
  <si>
    <t>I лев</t>
  </si>
  <si>
    <t>I пр</t>
  </si>
  <si>
    <t>I сред</t>
  </si>
  <si>
    <t>I трап</t>
  </si>
  <si>
    <t>I параб</t>
  </si>
  <si>
    <t>Δл=</t>
  </si>
  <si>
    <t>Δп=</t>
  </si>
  <si>
    <t>Δс=</t>
  </si>
  <si>
    <t>Δтр=</t>
  </si>
  <si>
    <t>Δпар=</t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</si>
  <si>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л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</si>
  <si>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п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</si>
  <si>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ср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</si>
  <si>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тр</t>
    </r>
  </si>
  <si>
    <r>
      <t>ε</t>
    </r>
    <r>
      <rPr>
        <vertAlign val="subscript"/>
        <sz val="11"/>
        <color theme="1"/>
        <rFont val="Calibri"/>
        <family val="2"/>
        <charset val="204"/>
        <scheme val="minor"/>
      </rPr>
      <t>пар</t>
    </r>
  </si>
  <si>
    <t>Iл</t>
  </si>
  <si>
    <t>Iпар</t>
  </si>
</sst>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"/>
    <numFmt numFmtId="170" formatCode="0.00000"/>
    <numFmt numFmtId="174" formatCode="0.00000%"/>
  </numFmts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170" fontId="0" fillId="0" borderId="1" xfId="0" applyNumberFormat="1" applyBorder="1"/>
    <xf numFmtId="174" fontId="0" fillId="0" borderId="1" xfId="1" applyNumberFormat="1" applyFont="1" applyBorder="1"/>
    <xf numFmtId="0" fontId="0" fillId="5" borderId="1" xfId="0" applyFill="1" applyBorder="1"/>
    <xf numFmtId="165" fontId="0" fillId="3" borderId="1" xfId="0" applyNumberFormat="1" applyFill="1" applyBorder="1"/>
    <xf numFmtId="164" fontId="0" fillId="6" borderId="1" xfId="0" applyNumberFormat="1" applyFill="1" applyBorder="1"/>
    <xf numFmtId="0" fontId="0" fillId="0" borderId="0" xfId="0" applyFill="1"/>
    <xf numFmtId="170" fontId="0" fillId="4" borderId="0" xfId="0" applyNumberFormat="1" applyFill="1"/>
    <xf numFmtId="0" fontId="3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165" fontId="0" fillId="0" borderId="0" xfId="0" applyNumberFormat="1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0" fontId="0" fillId="0" borderId="0" xfId="0" applyNumberFormat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right" vertical="center"/>
    </xf>
    <xf numFmtId="174" fontId="0" fillId="0" borderId="0" xfId="1" applyNumberFormat="1" applyFont="1" applyFill="1" applyBorder="1"/>
    <xf numFmtId="10" fontId="0" fillId="0" borderId="1" xfId="1" applyNumberFormat="1" applyFont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219075</xdr:colOff>
      <xdr:row>7</xdr:row>
      <xdr:rowOff>76200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44000" y="762000"/>
          <a:ext cx="3267075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21</xdr:row>
      <xdr:rowOff>1</xdr:rowOff>
    </xdr:from>
    <xdr:to>
      <xdr:col>15</xdr:col>
      <xdr:colOff>438150</xdr:colOff>
      <xdr:row>48</xdr:row>
      <xdr:rowOff>146173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038601"/>
          <a:ext cx="9734550" cy="53277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466725</xdr:colOff>
      <xdr:row>7</xdr:row>
      <xdr:rowOff>76200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296400" y="800100"/>
          <a:ext cx="3267075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>
      <selection activeCell="J16" sqref="J16"/>
    </sheetView>
  </sheetViews>
  <sheetFormatPr defaultRowHeight="15"/>
  <cols>
    <col min="10" max="11" width="9.5703125" bestFit="1" customWidth="1"/>
    <col min="12" max="12" width="9.7109375" bestFit="1" customWidth="1"/>
    <col min="13" max="14" width="9.5703125" bestFit="1" customWidth="1"/>
  </cols>
  <sheetData>
    <row r="1" spans="1:18" ht="18">
      <c r="A1" s="2" t="s">
        <v>0</v>
      </c>
      <c r="B1" s="2" t="s">
        <v>1</v>
      </c>
      <c r="C1" s="2" t="s">
        <v>2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P1" s="7" t="s">
        <v>8</v>
      </c>
      <c r="Q1" s="8">
        <f>(Q3-Q2)/Q4</f>
        <v>0.1</v>
      </c>
    </row>
    <row r="2" spans="1:18">
      <c r="A2" s="3">
        <v>0</v>
      </c>
      <c r="B2" s="3">
        <f>$Q$2</f>
        <v>0.8</v>
      </c>
      <c r="C2" s="3">
        <f>B2+$Q$1/2</f>
        <v>0.85000000000000009</v>
      </c>
      <c r="D2" s="4">
        <f>SQRT(0.8*(B2^2)+1)/(B2+SQRT(1.5*(B2^2)+2))</f>
        <v>0.48786000434811372</v>
      </c>
      <c r="E2" s="4">
        <f>SQRT(0.8*(C2^2)+1)/(C2+SQRT(1.5*(C2^2)+2))</f>
        <v>0.48202430109928929</v>
      </c>
      <c r="F2" s="3">
        <v>1</v>
      </c>
      <c r="G2" s="3">
        <v>0</v>
      </c>
      <c r="H2" s="3">
        <v>0.5</v>
      </c>
      <c r="I2" s="5">
        <v>0.33333333333333331</v>
      </c>
      <c r="J2" s="4">
        <f>F2*D2</f>
        <v>0.48786000434811372</v>
      </c>
      <c r="K2" s="4">
        <f>G2*D2</f>
        <v>0</v>
      </c>
      <c r="L2" s="4">
        <f>F2*E2</f>
        <v>0.48202430109928929</v>
      </c>
      <c r="M2" s="4">
        <f>H2*D2</f>
        <v>0.24393000217405686</v>
      </c>
      <c r="N2" s="4">
        <f>I2*D2</f>
        <v>0.16262000144937122</v>
      </c>
      <c r="P2" s="7" t="s">
        <v>9</v>
      </c>
      <c r="Q2" s="8">
        <v>0.8</v>
      </c>
    </row>
    <row r="3" spans="1:18">
      <c r="A3" s="3">
        <v>1</v>
      </c>
      <c r="B3" s="3">
        <f>B2+$Q$1</f>
        <v>0.9</v>
      </c>
      <c r="C3" s="3">
        <f t="shared" ref="C3:C12" si="0">B3+$Q$1/2</f>
        <v>0.95000000000000007</v>
      </c>
      <c r="D3" s="4">
        <f t="shared" ref="D3:E12" si="1">SQRT(0.8*(B3^2)+1)/(B3+SQRT(1.5*(B3^2)+2))</f>
        <v>0.47668936152094671</v>
      </c>
      <c r="E3" s="4">
        <f t="shared" si="1"/>
        <v>0.47180755141179753</v>
      </c>
      <c r="F3" s="3">
        <v>1</v>
      </c>
      <c r="G3" s="3">
        <v>1</v>
      </c>
      <c r="H3" s="3">
        <v>1</v>
      </c>
      <c r="I3" s="5">
        <v>1.3333333333333333</v>
      </c>
      <c r="J3" s="4">
        <f t="shared" ref="J3:J12" si="2">F3*D3</f>
        <v>0.47668936152094671</v>
      </c>
      <c r="K3" s="4">
        <f t="shared" ref="K3:K12" si="3">G3*D3</f>
        <v>0.47668936152094671</v>
      </c>
      <c r="L3" s="4">
        <f t="shared" ref="L3:L12" si="4">F3*E3</f>
        <v>0.47180755141179753</v>
      </c>
      <c r="M3" s="4">
        <f t="shared" ref="M3:M12" si="5">H3*D3</f>
        <v>0.47668936152094671</v>
      </c>
      <c r="N3" s="4">
        <f t="shared" ref="N3:N12" si="6">I3*D3</f>
        <v>0.63558581536126224</v>
      </c>
      <c r="P3" s="7" t="s">
        <v>10</v>
      </c>
      <c r="Q3" s="8">
        <v>1.8</v>
      </c>
    </row>
    <row r="4" spans="1:18">
      <c r="A4" s="3">
        <v>2</v>
      </c>
      <c r="B4" s="3">
        <f t="shared" ref="B4:B12" si="7">B3+$Q$1</f>
        <v>1</v>
      </c>
      <c r="C4" s="3">
        <f t="shared" si="0"/>
        <v>1.05</v>
      </c>
      <c r="D4" s="4">
        <f t="shared" si="1"/>
        <v>0.4673357172409412</v>
      </c>
      <c r="E4" s="4">
        <f t="shared" si="1"/>
        <v>0.46323485311558132</v>
      </c>
      <c r="F4" s="3">
        <v>1</v>
      </c>
      <c r="G4" s="3">
        <v>1</v>
      </c>
      <c r="H4" s="3">
        <v>1</v>
      </c>
      <c r="I4" s="5">
        <v>0.66666666666666663</v>
      </c>
      <c r="J4" s="4">
        <f t="shared" si="2"/>
        <v>0.4673357172409412</v>
      </c>
      <c r="K4" s="4">
        <f t="shared" si="3"/>
        <v>0.4673357172409412</v>
      </c>
      <c r="L4" s="4">
        <f t="shared" si="4"/>
        <v>0.46323485311558132</v>
      </c>
      <c r="M4" s="4">
        <f t="shared" si="5"/>
        <v>0.4673357172409412</v>
      </c>
      <c r="N4" s="4">
        <f t="shared" si="6"/>
        <v>0.31155714482729413</v>
      </c>
      <c r="P4" s="7" t="s">
        <v>11</v>
      </c>
      <c r="Q4" s="8">
        <v>10</v>
      </c>
    </row>
    <row r="5" spans="1:18">
      <c r="A5" s="3">
        <v>3</v>
      </c>
      <c r="B5" s="3">
        <f t="shared" si="7"/>
        <v>1.1000000000000001</v>
      </c>
      <c r="C5" s="3">
        <f t="shared" si="0"/>
        <v>1.1500000000000001</v>
      </c>
      <c r="D5" s="4">
        <f t="shared" si="1"/>
        <v>0.45946976463122485</v>
      </c>
      <c r="E5" s="4">
        <f t="shared" si="1"/>
        <v>0.45600873906338063</v>
      </c>
      <c r="F5" s="3">
        <v>1</v>
      </c>
      <c r="G5" s="3">
        <v>1</v>
      </c>
      <c r="H5" s="3">
        <v>1</v>
      </c>
      <c r="I5" s="5">
        <v>1.3333333333333333</v>
      </c>
      <c r="J5" s="4">
        <f t="shared" si="2"/>
        <v>0.45946976463122485</v>
      </c>
      <c r="K5" s="4">
        <f t="shared" si="3"/>
        <v>0.45946976463122485</v>
      </c>
      <c r="L5" s="4">
        <f t="shared" si="4"/>
        <v>0.45600873906338063</v>
      </c>
      <c r="M5" s="4">
        <f t="shared" si="5"/>
        <v>0.45946976463122485</v>
      </c>
      <c r="N5" s="4">
        <f t="shared" si="6"/>
        <v>0.61262635284163314</v>
      </c>
    </row>
    <row r="6" spans="1:18">
      <c r="A6" s="3">
        <v>4</v>
      </c>
      <c r="B6" s="3">
        <f t="shared" si="7"/>
        <v>1.2000000000000002</v>
      </c>
      <c r="C6" s="3">
        <f t="shared" si="0"/>
        <v>1.2500000000000002</v>
      </c>
      <c r="D6" s="4">
        <f t="shared" si="1"/>
        <v>0.452823228543075</v>
      </c>
      <c r="E6" s="4">
        <f t="shared" si="1"/>
        <v>0.44988755059773483</v>
      </c>
      <c r="F6" s="3">
        <v>1</v>
      </c>
      <c r="G6" s="3">
        <v>1</v>
      </c>
      <c r="H6" s="3">
        <v>1</v>
      </c>
      <c r="I6" s="5">
        <v>0.66666666666666663</v>
      </c>
      <c r="J6" s="4">
        <f t="shared" si="2"/>
        <v>0.452823228543075</v>
      </c>
      <c r="K6" s="4">
        <f t="shared" si="3"/>
        <v>0.452823228543075</v>
      </c>
      <c r="L6" s="4">
        <f t="shared" si="4"/>
        <v>0.44988755059773483</v>
      </c>
      <c r="M6" s="4">
        <f t="shared" si="5"/>
        <v>0.452823228543075</v>
      </c>
      <c r="N6" s="4">
        <f t="shared" si="6"/>
        <v>0.30188215236204996</v>
      </c>
    </row>
    <row r="7" spans="1:18">
      <c r="A7" s="3">
        <v>5</v>
      </c>
      <c r="B7" s="3">
        <f t="shared" si="7"/>
        <v>1.3000000000000003</v>
      </c>
      <c r="C7" s="3">
        <f t="shared" si="0"/>
        <v>1.3500000000000003</v>
      </c>
      <c r="D7" s="4">
        <f t="shared" si="1"/>
        <v>0.44717860867596482</v>
      </c>
      <c r="E7" s="4">
        <f t="shared" si="1"/>
        <v>0.44467563393868592</v>
      </c>
      <c r="F7" s="3">
        <v>1</v>
      </c>
      <c r="G7" s="3">
        <v>1</v>
      </c>
      <c r="H7" s="3">
        <v>1</v>
      </c>
      <c r="I7" s="5">
        <v>1.3333333333333333</v>
      </c>
      <c r="J7" s="4">
        <f t="shared" si="2"/>
        <v>0.44717860867596482</v>
      </c>
      <c r="K7" s="4">
        <f t="shared" si="3"/>
        <v>0.44717860867596482</v>
      </c>
      <c r="L7" s="4">
        <f t="shared" si="4"/>
        <v>0.44467563393868592</v>
      </c>
      <c r="M7" s="4">
        <f t="shared" si="5"/>
        <v>0.44717860867596482</v>
      </c>
      <c r="N7" s="4">
        <f t="shared" si="6"/>
        <v>0.59623814490128635</v>
      </c>
    </row>
    <row r="8" spans="1:18">
      <c r="A8" s="3">
        <v>6</v>
      </c>
      <c r="B8" s="3">
        <f t="shared" si="7"/>
        <v>1.4000000000000004</v>
      </c>
      <c r="C8" s="3">
        <f t="shared" si="0"/>
        <v>1.4500000000000004</v>
      </c>
      <c r="D8" s="4">
        <f t="shared" si="1"/>
        <v>0.44235994861706029</v>
      </c>
      <c r="E8" s="4">
        <f t="shared" si="1"/>
        <v>0.44021475054088954</v>
      </c>
      <c r="F8" s="3">
        <v>1</v>
      </c>
      <c r="G8" s="3">
        <v>1</v>
      </c>
      <c r="H8" s="3">
        <v>1</v>
      </c>
      <c r="I8" s="5">
        <v>0.66666666666666663</v>
      </c>
      <c r="J8" s="4">
        <f t="shared" si="2"/>
        <v>0.44235994861706029</v>
      </c>
      <c r="K8" s="4">
        <f t="shared" si="3"/>
        <v>0.44235994861706029</v>
      </c>
      <c r="L8" s="4">
        <f t="shared" si="4"/>
        <v>0.44021475054088954</v>
      </c>
      <c r="M8" s="4">
        <f t="shared" si="5"/>
        <v>0.44235994861706029</v>
      </c>
      <c r="N8" s="4">
        <f t="shared" si="6"/>
        <v>0.29490663241137349</v>
      </c>
    </row>
    <row r="9" spans="1:18">
      <c r="A9" s="3">
        <v>7</v>
      </c>
      <c r="B9" s="3">
        <f t="shared" si="7"/>
        <v>1.5000000000000004</v>
      </c>
      <c r="C9" s="3">
        <f t="shared" si="0"/>
        <v>1.5500000000000005</v>
      </c>
      <c r="D9" s="4">
        <f t="shared" si="1"/>
        <v>0.43822491796862012</v>
      </c>
      <c r="E9" s="4">
        <f t="shared" si="1"/>
        <v>0.43637683354959006</v>
      </c>
      <c r="F9" s="3">
        <v>1</v>
      </c>
      <c r="G9" s="3">
        <v>1</v>
      </c>
      <c r="H9" s="3">
        <v>1</v>
      </c>
      <c r="I9" s="5">
        <v>1.3333333333333333</v>
      </c>
      <c r="J9" s="4">
        <f t="shared" si="2"/>
        <v>0.43822491796862012</v>
      </c>
      <c r="K9" s="4">
        <f t="shared" si="3"/>
        <v>0.43822491796862012</v>
      </c>
      <c r="L9" s="4">
        <f t="shared" si="4"/>
        <v>0.43637683354959006</v>
      </c>
      <c r="M9" s="4">
        <f t="shared" si="5"/>
        <v>0.43822491796862012</v>
      </c>
      <c r="N9" s="4">
        <f t="shared" si="6"/>
        <v>0.58429989062482679</v>
      </c>
      <c r="P9" s="14" t="s">
        <v>19</v>
      </c>
      <c r="Q9" s="14"/>
      <c r="R9" s="15">
        <v>0.45078654034270299</v>
      </c>
    </row>
    <row r="10" spans="1:18">
      <c r="A10" s="3">
        <v>8</v>
      </c>
      <c r="B10" s="3">
        <f t="shared" si="7"/>
        <v>1.6000000000000005</v>
      </c>
      <c r="C10" s="3">
        <f t="shared" si="0"/>
        <v>1.6500000000000006</v>
      </c>
      <c r="D10" s="4">
        <f t="shared" si="1"/>
        <v>0.43465822607762855</v>
      </c>
      <c r="E10" s="4">
        <f t="shared" si="1"/>
        <v>0.43305802861789516</v>
      </c>
      <c r="F10" s="3">
        <v>1</v>
      </c>
      <c r="G10" s="3">
        <v>1</v>
      </c>
      <c r="H10" s="3">
        <v>1</v>
      </c>
      <c r="I10" s="5">
        <v>0.66666666666666663</v>
      </c>
      <c r="J10" s="4">
        <f t="shared" si="2"/>
        <v>0.43465822607762855</v>
      </c>
      <c r="K10" s="4">
        <f t="shared" si="3"/>
        <v>0.43465822607762855</v>
      </c>
      <c r="L10" s="4">
        <f t="shared" si="4"/>
        <v>0.43305802861789516</v>
      </c>
      <c r="M10" s="4">
        <f t="shared" si="5"/>
        <v>0.43465822607762855</v>
      </c>
      <c r="N10" s="4">
        <f t="shared" si="6"/>
        <v>0.289772150718419</v>
      </c>
    </row>
    <row r="11" spans="1:18">
      <c r="A11" s="3">
        <v>9</v>
      </c>
      <c r="B11" s="3">
        <f t="shared" si="7"/>
        <v>1.7000000000000006</v>
      </c>
      <c r="C11" s="3">
        <f t="shared" si="0"/>
        <v>1.7500000000000007</v>
      </c>
      <c r="D11" s="4">
        <f t="shared" si="1"/>
        <v>0.43156625157863887</v>
      </c>
      <c r="E11" s="4">
        <f t="shared" si="1"/>
        <v>0.4301738693353101</v>
      </c>
      <c r="F11" s="3">
        <v>1</v>
      </c>
      <c r="G11" s="3">
        <v>1</v>
      </c>
      <c r="H11" s="3">
        <v>1</v>
      </c>
      <c r="I11" s="5">
        <v>1.3333333333333333</v>
      </c>
      <c r="J11" s="4">
        <f t="shared" si="2"/>
        <v>0.43156625157863887</v>
      </c>
      <c r="K11" s="4">
        <f t="shared" si="3"/>
        <v>0.43156625157863887</v>
      </c>
      <c r="L11" s="4">
        <f t="shared" si="4"/>
        <v>0.4301738693353101</v>
      </c>
      <c r="M11" s="4">
        <f t="shared" si="5"/>
        <v>0.43156625157863887</v>
      </c>
      <c r="N11" s="4">
        <f t="shared" si="6"/>
        <v>0.57542166877151846</v>
      </c>
      <c r="Q11" s="16" t="s">
        <v>25</v>
      </c>
      <c r="R11" s="9">
        <f>ABS(J16-R9)</f>
        <v>3.0300625775184775E-3</v>
      </c>
    </row>
    <row r="12" spans="1:18">
      <c r="A12" s="3">
        <v>10</v>
      </c>
      <c r="B12" s="3">
        <f t="shared" si="7"/>
        <v>1.8000000000000007</v>
      </c>
      <c r="C12" s="3">
        <f t="shared" si="0"/>
        <v>1.8500000000000008</v>
      </c>
      <c r="D12" s="4">
        <f t="shared" si="1"/>
        <v>0.42887271908024582</v>
      </c>
      <c r="E12" s="4">
        <f t="shared" si="1"/>
        <v>0.42765541065515816</v>
      </c>
      <c r="F12" s="3">
        <v>0</v>
      </c>
      <c r="G12" s="3">
        <v>1</v>
      </c>
      <c r="H12" s="3">
        <v>0.5</v>
      </c>
      <c r="I12" s="5">
        <v>0.33333333333333331</v>
      </c>
      <c r="J12" s="4">
        <f t="shared" si="2"/>
        <v>0</v>
      </c>
      <c r="K12" s="4">
        <f t="shared" si="3"/>
        <v>0.42887271908024582</v>
      </c>
      <c r="L12" s="4">
        <f t="shared" si="4"/>
        <v>0</v>
      </c>
      <c r="M12" s="4">
        <f t="shared" si="5"/>
        <v>0.21443635954012291</v>
      </c>
      <c r="N12" s="4">
        <f t="shared" si="6"/>
        <v>0.14295757302674861</v>
      </c>
      <c r="Q12" s="17" t="s">
        <v>26</v>
      </c>
      <c r="R12" s="9">
        <f>ABS(K16-R9)</f>
        <v>2.8686659492683231E-3</v>
      </c>
    </row>
    <row r="13" spans="1:18">
      <c r="I13" s="11" t="s">
        <v>18</v>
      </c>
      <c r="J13" s="12">
        <f>SUM(J2:J12)</f>
        <v>4.5381660292022143</v>
      </c>
      <c r="K13" s="12">
        <f t="shared" ref="K13:N13" si="8">SUM(K2:K12)</f>
        <v>4.4791787439343462</v>
      </c>
      <c r="L13" s="12">
        <f t="shared" si="8"/>
        <v>4.5074621112701552</v>
      </c>
      <c r="M13" s="12">
        <f t="shared" si="8"/>
        <v>4.5086723865682803</v>
      </c>
      <c r="N13" s="12">
        <f t="shared" si="8"/>
        <v>4.5078675272957831</v>
      </c>
      <c r="Q13" s="17" t="s">
        <v>27</v>
      </c>
      <c r="R13" s="9">
        <f>ABS(L16-R9)</f>
        <v>4.0329215687473496E-5</v>
      </c>
    </row>
    <row r="14" spans="1:18">
      <c r="Q14" s="17" t="s">
        <v>28</v>
      </c>
      <c r="R14" s="9">
        <f>ABS(M16-R9)</f>
        <v>8.0698314125049464E-5</v>
      </c>
    </row>
    <row r="15" spans="1:18"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  <c r="Q15" s="17" t="s">
        <v>29</v>
      </c>
      <c r="R15" s="9">
        <f>ABS(N16-R9)</f>
        <v>2.1238687536451195E-7</v>
      </c>
    </row>
    <row r="16" spans="1:18">
      <c r="J16" s="13">
        <f>J13*$Q$1</f>
        <v>0.45381660292022147</v>
      </c>
      <c r="K16" s="13">
        <f t="shared" ref="K16:N16" si="9">K13*$Q$1</f>
        <v>0.44791787439343467</v>
      </c>
      <c r="L16" s="13">
        <f t="shared" si="9"/>
        <v>0.45074621112701552</v>
      </c>
      <c r="M16" s="13">
        <f t="shared" si="9"/>
        <v>0.45086723865682804</v>
      </c>
      <c r="N16" s="13">
        <f t="shared" si="9"/>
        <v>0.45078675272957835</v>
      </c>
    </row>
    <row r="18" spans="17:18" ht="18">
      <c r="Q18" s="18" t="s">
        <v>30</v>
      </c>
      <c r="R18" s="10">
        <f>R11/$R$9</f>
        <v>6.7217237125467913E-3</v>
      </c>
    </row>
    <row r="19" spans="17:18" ht="18">
      <c r="Q19" s="18" t="s">
        <v>31</v>
      </c>
      <c r="R19" s="10">
        <f t="shared" ref="R19:R22" si="10">R12/$R$9</f>
        <v>6.3636903335389456E-3</v>
      </c>
    </row>
    <row r="20" spans="17:18" ht="18">
      <c r="Q20" s="18" t="s">
        <v>32</v>
      </c>
      <c r="R20" s="10">
        <f t="shared" si="10"/>
        <v>8.9464107905293447E-5</v>
      </c>
    </row>
    <row r="21" spans="17:18" ht="18">
      <c r="Q21" s="18" t="s">
        <v>33</v>
      </c>
      <c r="R21" s="10">
        <f t="shared" si="10"/>
        <v>1.790166895038612E-4</v>
      </c>
    </row>
    <row r="22" spans="17:18" ht="18">
      <c r="Q22" s="18" t="s">
        <v>34</v>
      </c>
      <c r="R22" s="10">
        <f t="shared" si="10"/>
        <v>4.711473310694866E-7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>
      <selection activeCell="I18" sqref="I18"/>
    </sheetView>
  </sheetViews>
  <sheetFormatPr defaultRowHeight="15"/>
  <cols>
    <col min="7" max="7" width="9.28515625" bestFit="1" customWidth="1"/>
    <col min="17" max="17" width="6.42578125" bestFit="1" customWidth="1"/>
    <col min="18" max="18" width="8.140625" bestFit="1" customWidth="1"/>
  </cols>
  <sheetData>
    <row r="1" spans="1:18" ht="18">
      <c r="A1" s="2" t="s">
        <v>0</v>
      </c>
      <c r="B1" s="2" t="s">
        <v>1</v>
      </c>
      <c r="C1" s="2" t="s">
        <v>12</v>
      </c>
      <c r="D1" s="2" t="s">
        <v>14</v>
      </c>
      <c r="E1" s="2" t="s">
        <v>17</v>
      </c>
      <c r="F1" s="2" t="s">
        <v>3</v>
      </c>
      <c r="G1" s="2" t="s">
        <v>7</v>
      </c>
      <c r="H1" s="22"/>
      <c r="I1" s="22"/>
      <c r="J1" s="22"/>
      <c r="K1" s="22"/>
      <c r="L1" s="22"/>
      <c r="M1" s="22"/>
      <c r="N1" s="22"/>
      <c r="P1" s="7" t="s">
        <v>8</v>
      </c>
      <c r="Q1" s="19">
        <f>(Q3-Q2)/Q4</f>
        <v>0.05</v>
      </c>
    </row>
    <row r="2" spans="1:18">
      <c r="A2" s="3">
        <v>0</v>
      </c>
      <c r="B2" s="3">
        <f>$Q$2</f>
        <v>0.8</v>
      </c>
      <c r="C2" s="4">
        <f>SQRT(0.8*(A2^2)+1)/(A2+SQRT(1.5*(A2^2)+2))</f>
        <v>0.70710678118654746</v>
      </c>
      <c r="D2" s="3">
        <v>1</v>
      </c>
      <c r="E2" s="5">
        <v>0.33333333333333331</v>
      </c>
      <c r="F2" s="3">
        <f>D2*B2</f>
        <v>0.8</v>
      </c>
      <c r="G2" s="19">
        <f>E2*B2</f>
        <v>0.26666666666666666</v>
      </c>
      <c r="H2" s="22"/>
      <c r="I2" s="23"/>
      <c r="J2" s="24"/>
      <c r="K2" s="24"/>
      <c r="L2" s="24"/>
      <c r="M2" s="24"/>
      <c r="N2" s="24"/>
      <c r="P2" s="7" t="s">
        <v>9</v>
      </c>
      <c r="Q2" s="8">
        <v>0.8</v>
      </c>
    </row>
    <row r="3" spans="1:18">
      <c r="A3" s="3">
        <v>1</v>
      </c>
      <c r="B3" s="3">
        <f>B2+$Q$1</f>
        <v>0.85000000000000009</v>
      </c>
      <c r="C3" s="4">
        <f t="shared" ref="C3:C18" si="0">SQRT(0.8*(A3^2)+1)/(A3+SQRT(1.5*(A3^2)+2))</f>
        <v>0.4673357172409412</v>
      </c>
      <c r="D3" s="3">
        <v>1</v>
      </c>
      <c r="E3" s="5">
        <v>1.3333333333333333</v>
      </c>
      <c r="F3" s="3">
        <f t="shared" ref="F3:F22" si="1">D3*B3</f>
        <v>0.85000000000000009</v>
      </c>
      <c r="G3" s="19">
        <f t="shared" ref="G3:G22" si="2">E3*B3</f>
        <v>1.1333333333333333</v>
      </c>
      <c r="H3" s="22"/>
      <c r="I3" s="23"/>
      <c r="J3" s="24"/>
      <c r="K3" s="24"/>
      <c r="L3" s="24"/>
      <c r="M3" s="24"/>
      <c r="N3" s="24"/>
      <c r="P3" s="7" t="s">
        <v>10</v>
      </c>
      <c r="Q3" s="8">
        <v>1.8</v>
      </c>
    </row>
    <row r="4" spans="1:18">
      <c r="A4" s="3">
        <v>2</v>
      </c>
      <c r="B4" s="3">
        <f t="shared" ref="B4:B22" si="3">B3+$Q$1</f>
        <v>0.90000000000000013</v>
      </c>
      <c r="C4" s="4">
        <f t="shared" si="0"/>
        <v>0.42444259802298406</v>
      </c>
      <c r="D4" s="3">
        <v>1</v>
      </c>
      <c r="E4" s="5">
        <v>0.66666666666666663</v>
      </c>
      <c r="F4" s="3">
        <f t="shared" si="1"/>
        <v>0.90000000000000013</v>
      </c>
      <c r="G4" s="19">
        <f t="shared" si="2"/>
        <v>0.60000000000000009</v>
      </c>
      <c r="H4" s="22"/>
      <c r="I4" s="23"/>
      <c r="J4" s="24"/>
      <c r="K4" s="24"/>
      <c r="L4" s="24"/>
      <c r="M4" s="24"/>
      <c r="N4" s="24"/>
      <c r="P4" s="7" t="s">
        <v>11</v>
      </c>
      <c r="Q4" s="8">
        <v>20</v>
      </c>
    </row>
    <row r="5" spans="1:18">
      <c r="A5" s="3">
        <v>3</v>
      </c>
      <c r="B5" s="3">
        <f t="shared" si="3"/>
        <v>0.95000000000000018</v>
      </c>
      <c r="C5" s="4">
        <f t="shared" si="0"/>
        <v>0.41279552940418529</v>
      </c>
      <c r="D5" s="3">
        <v>1</v>
      </c>
      <c r="E5" s="5">
        <v>1.3333333333333333</v>
      </c>
      <c r="F5" s="3">
        <f t="shared" si="1"/>
        <v>0.95000000000000018</v>
      </c>
      <c r="G5" s="19">
        <f t="shared" si="2"/>
        <v>1.2666666666666668</v>
      </c>
      <c r="H5" s="22"/>
      <c r="I5" s="23"/>
      <c r="J5" s="24"/>
      <c r="K5" s="24"/>
      <c r="L5" s="24"/>
      <c r="M5" s="24"/>
      <c r="N5" s="24"/>
    </row>
    <row r="6" spans="1:18">
      <c r="A6" s="3">
        <v>4</v>
      </c>
      <c r="B6" s="3">
        <f t="shared" si="3"/>
        <v>1.0000000000000002</v>
      </c>
      <c r="C6" s="4">
        <f t="shared" si="0"/>
        <v>0.40826762912771514</v>
      </c>
      <c r="D6" s="3">
        <v>1</v>
      </c>
      <c r="E6" s="5">
        <v>0.66666666666666663</v>
      </c>
      <c r="F6" s="3">
        <f t="shared" si="1"/>
        <v>1.0000000000000002</v>
      </c>
      <c r="G6" s="19">
        <f t="shared" si="2"/>
        <v>0.66666666666666674</v>
      </c>
      <c r="H6" s="22"/>
      <c r="I6" s="23"/>
      <c r="J6" s="24"/>
      <c r="K6" s="24"/>
      <c r="L6" s="24"/>
      <c r="M6" s="24"/>
      <c r="N6" s="24"/>
    </row>
    <row r="7" spans="1:18">
      <c r="A7" s="3">
        <v>5</v>
      </c>
      <c r="B7" s="3">
        <f t="shared" si="3"/>
        <v>1.0500000000000003</v>
      </c>
      <c r="C7" s="4">
        <f t="shared" si="0"/>
        <v>0.40608021883104395</v>
      </c>
      <c r="D7" s="3">
        <v>1</v>
      </c>
      <c r="E7" s="5">
        <v>1.3333333333333333</v>
      </c>
      <c r="F7" s="3">
        <f t="shared" si="1"/>
        <v>1.0500000000000003</v>
      </c>
      <c r="G7" s="19">
        <f t="shared" si="2"/>
        <v>1.4000000000000004</v>
      </c>
      <c r="H7" s="22"/>
      <c r="I7" s="23"/>
      <c r="J7" s="24"/>
      <c r="K7" s="24"/>
      <c r="L7" s="24"/>
      <c r="M7" s="24"/>
      <c r="N7" s="24"/>
    </row>
    <row r="8" spans="1:18">
      <c r="A8" s="3">
        <v>6</v>
      </c>
      <c r="B8" s="3">
        <f t="shared" si="3"/>
        <v>1.1000000000000003</v>
      </c>
      <c r="C8" s="4">
        <f t="shared" si="0"/>
        <v>0.40486614139514415</v>
      </c>
      <c r="D8" s="3">
        <v>1</v>
      </c>
      <c r="E8" s="5">
        <v>0.66666666666666663</v>
      </c>
      <c r="F8" s="3">
        <f t="shared" si="1"/>
        <v>1.1000000000000003</v>
      </c>
      <c r="G8" s="19">
        <f t="shared" si="2"/>
        <v>0.7333333333333335</v>
      </c>
      <c r="H8" s="22"/>
      <c r="I8" s="23"/>
      <c r="J8" s="24"/>
      <c r="K8" s="24"/>
      <c r="L8" s="24"/>
      <c r="M8" s="24"/>
      <c r="N8" s="24"/>
    </row>
    <row r="9" spans="1:18">
      <c r="A9" s="3">
        <v>7</v>
      </c>
      <c r="B9" s="3">
        <f t="shared" si="3"/>
        <v>1.1500000000000004</v>
      </c>
      <c r="C9" s="4">
        <f t="shared" si="0"/>
        <v>0.40412500800994483</v>
      </c>
      <c r="D9" s="3">
        <v>1</v>
      </c>
      <c r="E9" s="5">
        <v>1.3333333333333333</v>
      </c>
      <c r="F9" s="3">
        <f t="shared" si="1"/>
        <v>1.1500000000000004</v>
      </c>
      <c r="G9" s="19">
        <f t="shared" si="2"/>
        <v>1.5333333333333337</v>
      </c>
      <c r="H9" s="22"/>
      <c r="I9" s="23"/>
      <c r="J9" s="24"/>
      <c r="K9" s="24"/>
      <c r="L9" s="24"/>
      <c r="M9" s="24"/>
      <c r="N9" s="24"/>
      <c r="P9" s="14" t="s">
        <v>19</v>
      </c>
      <c r="Q9" s="14"/>
      <c r="R9" s="15">
        <v>0.45078654034270299</v>
      </c>
    </row>
    <row r="10" spans="1:18">
      <c r="A10" s="3">
        <v>8</v>
      </c>
      <c r="B10" s="3">
        <f t="shared" si="3"/>
        <v>1.2000000000000004</v>
      </c>
      <c r="C10" s="4">
        <f t="shared" si="0"/>
        <v>0.40364025760846661</v>
      </c>
      <c r="D10" s="3">
        <v>1</v>
      </c>
      <c r="E10" s="5">
        <v>0.66666666666666663</v>
      </c>
      <c r="F10" s="3">
        <f t="shared" si="1"/>
        <v>1.2000000000000004</v>
      </c>
      <c r="G10" s="19">
        <f t="shared" si="2"/>
        <v>0.80000000000000027</v>
      </c>
      <c r="H10" s="22"/>
      <c r="I10" s="23"/>
      <c r="J10" s="24"/>
      <c r="K10" s="24"/>
      <c r="L10" s="24"/>
      <c r="M10" s="24"/>
      <c r="N10" s="24"/>
    </row>
    <row r="11" spans="1:18">
      <c r="A11" s="3">
        <v>9</v>
      </c>
      <c r="B11" s="3">
        <f t="shared" si="3"/>
        <v>1.2500000000000004</v>
      </c>
      <c r="C11" s="4">
        <f t="shared" si="0"/>
        <v>0.4033061989248457</v>
      </c>
      <c r="D11" s="3">
        <v>1</v>
      </c>
      <c r="E11" s="5">
        <v>1.3333333333333333</v>
      </c>
      <c r="F11" s="3">
        <f t="shared" si="1"/>
        <v>1.2500000000000004</v>
      </c>
      <c r="G11" s="19">
        <f t="shared" si="2"/>
        <v>1.6666666666666672</v>
      </c>
      <c r="H11" s="22"/>
      <c r="I11" s="23"/>
      <c r="J11" s="24"/>
      <c r="K11" s="24"/>
      <c r="L11" s="24"/>
      <c r="M11" s="24"/>
      <c r="N11" s="24"/>
      <c r="Q11" s="16" t="s">
        <v>25</v>
      </c>
      <c r="R11" s="9">
        <f>ABS(F26-R9)</f>
        <v>0.82421345965729742</v>
      </c>
    </row>
    <row r="12" spans="1:18">
      <c r="A12" s="3">
        <v>10</v>
      </c>
      <c r="B12" s="3">
        <f t="shared" si="3"/>
        <v>1.3000000000000005</v>
      </c>
      <c r="C12" s="4">
        <f t="shared" si="0"/>
        <v>0.40306638564310726</v>
      </c>
      <c r="D12" s="3">
        <v>1</v>
      </c>
      <c r="E12" s="5">
        <v>0.66666666666666663</v>
      </c>
      <c r="F12" s="3">
        <f t="shared" si="1"/>
        <v>1.3000000000000005</v>
      </c>
      <c r="G12" s="19">
        <f t="shared" si="2"/>
        <v>0.86666666666666692</v>
      </c>
      <c r="H12" s="22"/>
      <c r="I12" s="23"/>
      <c r="J12" s="24"/>
      <c r="K12" s="24"/>
      <c r="L12" s="24"/>
      <c r="M12" s="24"/>
      <c r="N12" s="24"/>
      <c r="Q12" s="17" t="s">
        <v>29</v>
      </c>
      <c r="R12" s="9">
        <f>ABS(G26-R9)</f>
        <v>0.84921345965729755</v>
      </c>
    </row>
    <row r="13" spans="1:18">
      <c r="A13" s="3">
        <v>11</v>
      </c>
      <c r="B13" s="3">
        <f t="shared" si="3"/>
        <v>1.3500000000000005</v>
      </c>
      <c r="C13" s="4">
        <f t="shared" si="0"/>
        <v>0.40288848492911838</v>
      </c>
      <c r="D13" s="3">
        <v>1</v>
      </c>
      <c r="E13" s="5">
        <v>1.3333333333333333</v>
      </c>
      <c r="F13" s="3">
        <f t="shared" si="1"/>
        <v>1.3500000000000005</v>
      </c>
      <c r="G13" s="19">
        <f t="shared" si="2"/>
        <v>1.8000000000000007</v>
      </c>
      <c r="H13" s="22"/>
      <c r="I13" s="23"/>
      <c r="J13" s="25"/>
      <c r="K13" s="25"/>
      <c r="L13" s="25"/>
      <c r="M13" s="25"/>
      <c r="N13" s="25"/>
      <c r="Q13" s="31"/>
      <c r="R13" s="30"/>
    </row>
    <row r="14" spans="1:18">
      <c r="A14" s="3">
        <v>12</v>
      </c>
      <c r="B14" s="3">
        <f t="shared" si="3"/>
        <v>1.4000000000000006</v>
      </c>
      <c r="C14" s="4">
        <f t="shared" si="0"/>
        <v>0.40275291035215571</v>
      </c>
      <c r="D14" s="3">
        <v>1</v>
      </c>
      <c r="E14" s="5">
        <v>0.66666666666666663</v>
      </c>
      <c r="F14" s="3">
        <f t="shared" si="1"/>
        <v>1.4000000000000006</v>
      </c>
      <c r="G14" s="19">
        <f t="shared" si="2"/>
        <v>0.93333333333333368</v>
      </c>
      <c r="H14" s="22"/>
      <c r="I14" s="23"/>
      <c r="J14" s="26"/>
      <c r="K14" s="26"/>
      <c r="L14" s="26"/>
      <c r="M14" s="26"/>
      <c r="N14" s="26"/>
      <c r="Q14" s="31"/>
      <c r="R14" s="30"/>
    </row>
    <row r="15" spans="1:18">
      <c r="A15" s="3">
        <v>13</v>
      </c>
      <c r="B15" s="3">
        <f t="shared" si="3"/>
        <v>1.4500000000000006</v>
      </c>
      <c r="C15" s="4">
        <f t="shared" si="0"/>
        <v>0.40264724161464288</v>
      </c>
      <c r="D15" s="3">
        <v>1</v>
      </c>
      <c r="E15" s="5">
        <v>1.3333333333333333</v>
      </c>
      <c r="F15" s="3">
        <f t="shared" si="1"/>
        <v>1.4500000000000006</v>
      </c>
      <c r="G15" s="19">
        <f t="shared" si="2"/>
        <v>1.933333333333334</v>
      </c>
      <c r="H15" s="22"/>
      <c r="I15" s="23"/>
      <c r="J15" s="26"/>
      <c r="K15" s="26"/>
      <c r="L15" s="26"/>
      <c r="M15" s="26"/>
      <c r="N15" s="26"/>
      <c r="Q15" s="31"/>
      <c r="R15" s="30"/>
    </row>
    <row r="16" spans="1:18">
      <c r="A16" s="3">
        <v>14</v>
      </c>
      <c r="B16" s="3">
        <f t="shared" si="3"/>
        <v>1.5000000000000007</v>
      </c>
      <c r="C16" s="4">
        <f t="shared" si="0"/>
        <v>0.40256329691089771</v>
      </c>
      <c r="D16" s="3">
        <v>1</v>
      </c>
      <c r="E16" s="5">
        <v>0.66666666666666663</v>
      </c>
      <c r="F16" s="3">
        <f t="shared" si="1"/>
        <v>1.5000000000000007</v>
      </c>
      <c r="G16" s="19">
        <f t="shared" si="2"/>
        <v>1.0000000000000004</v>
      </c>
      <c r="H16" s="22"/>
      <c r="I16" s="23"/>
      <c r="J16" s="27"/>
      <c r="K16" s="27"/>
      <c r="L16" s="27"/>
      <c r="M16" s="27"/>
      <c r="N16" s="27"/>
    </row>
    <row r="17" spans="1:18">
      <c r="A17" s="3">
        <v>15</v>
      </c>
      <c r="B17" s="3">
        <f t="shared" si="3"/>
        <v>1.5500000000000007</v>
      </c>
      <c r="C17" s="4">
        <f t="shared" si="0"/>
        <v>0.40249551012497631</v>
      </c>
      <c r="D17" s="3">
        <v>1</v>
      </c>
      <c r="E17" s="5">
        <v>1.3333333333333333</v>
      </c>
      <c r="F17" s="3">
        <f t="shared" si="1"/>
        <v>1.5500000000000007</v>
      </c>
      <c r="G17" s="19">
        <f t="shared" si="2"/>
        <v>2.0666666666666673</v>
      </c>
      <c r="H17" s="22"/>
      <c r="I17" s="23"/>
      <c r="J17" s="26"/>
      <c r="K17" s="26"/>
      <c r="L17" s="26"/>
      <c r="M17" s="26"/>
      <c r="N17" s="26"/>
    </row>
    <row r="18" spans="1:18" ht="18">
      <c r="A18" s="3">
        <v>16</v>
      </c>
      <c r="B18" s="3">
        <f t="shared" si="3"/>
        <v>1.6000000000000008</v>
      </c>
      <c r="C18" s="4">
        <f t="shared" si="0"/>
        <v>0.40243998868875369</v>
      </c>
      <c r="D18" s="3">
        <v>1</v>
      </c>
      <c r="E18" s="5">
        <v>0.66666666666666663</v>
      </c>
      <c r="F18" s="3">
        <f t="shared" si="1"/>
        <v>1.6000000000000008</v>
      </c>
      <c r="G18" s="19">
        <f t="shared" si="2"/>
        <v>1.0666666666666671</v>
      </c>
      <c r="H18" s="22"/>
      <c r="I18" s="23"/>
      <c r="J18" s="26"/>
      <c r="K18" s="26"/>
      <c r="L18" s="26"/>
      <c r="M18" s="26"/>
      <c r="N18" s="26"/>
      <c r="Q18" s="18" t="s">
        <v>30</v>
      </c>
      <c r="R18" s="34">
        <f>R11/$R$9</f>
        <v>1.8283896831318496</v>
      </c>
    </row>
    <row r="19" spans="1:18" ht="18">
      <c r="A19" s="3">
        <v>17</v>
      </c>
      <c r="B19" s="3">
        <f t="shared" si="3"/>
        <v>1.6500000000000008</v>
      </c>
      <c r="C19" s="4">
        <f t="shared" ref="C19:C22" si="4">SQRT(0.8*(A19^2)+1)/(A19+SQRT(1.5*(A19^2)+2))</f>
        <v>0.40239394456536376</v>
      </c>
      <c r="D19" s="3">
        <v>1</v>
      </c>
      <c r="E19" s="5">
        <v>1.3333333333333333</v>
      </c>
      <c r="F19" s="3">
        <f t="shared" si="1"/>
        <v>1.6500000000000008</v>
      </c>
      <c r="G19" s="19">
        <f t="shared" si="2"/>
        <v>2.2000000000000011</v>
      </c>
      <c r="H19" s="22"/>
      <c r="I19" s="23"/>
      <c r="J19" s="26"/>
      <c r="K19" s="26"/>
      <c r="L19" s="26"/>
      <c r="M19" s="26"/>
      <c r="N19" s="26"/>
      <c r="Q19" s="18" t="s">
        <v>34</v>
      </c>
      <c r="R19" s="34">
        <f t="shared" ref="R19:R22" si="5">R12/$R$9</f>
        <v>1.8838483043697292</v>
      </c>
    </row>
    <row r="20" spans="1:18">
      <c r="A20" s="3">
        <v>18</v>
      </c>
      <c r="B20" s="3">
        <f t="shared" si="3"/>
        <v>1.7000000000000008</v>
      </c>
      <c r="C20" s="4">
        <f t="shared" si="4"/>
        <v>0.40235533865697398</v>
      </c>
      <c r="D20" s="3">
        <v>1</v>
      </c>
      <c r="E20" s="5">
        <v>0.66666666666666663</v>
      </c>
      <c r="F20" s="3">
        <f t="shared" si="1"/>
        <v>1.7000000000000008</v>
      </c>
      <c r="G20" s="19">
        <f t="shared" si="2"/>
        <v>1.1333333333333337</v>
      </c>
      <c r="H20" s="22"/>
      <c r="I20" s="23"/>
      <c r="J20" s="26"/>
      <c r="K20" s="26"/>
      <c r="L20" s="26"/>
      <c r="M20" s="26"/>
      <c r="N20" s="26"/>
      <c r="Q20" s="32"/>
      <c r="R20" s="33"/>
    </row>
    <row r="21" spans="1:18">
      <c r="A21" s="3">
        <v>19</v>
      </c>
      <c r="B21" s="3">
        <f t="shared" si="3"/>
        <v>1.7500000000000009</v>
      </c>
      <c r="C21" s="4">
        <f t="shared" si="4"/>
        <v>0.40232265187132921</v>
      </c>
      <c r="D21" s="3">
        <v>1</v>
      </c>
      <c r="E21" s="5">
        <v>1.3333333333333333</v>
      </c>
      <c r="F21" s="3">
        <f t="shared" si="1"/>
        <v>1.7500000000000009</v>
      </c>
      <c r="G21" s="19">
        <f t="shared" si="2"/>
        <v>2.3333333333333344</v>
      </c>
      <c r="H21" s="22"/>
      <c r="I21" s="23"/>
      <c r="J21" s="26"/>
      <c r="K21" s="26"/>
      <c r="L21" s="26"/>
      <c r="M21" s="26"/>
      <c r="N21" s="26"/>
      <c r="Q21" s="32"/>
      <c r="R21" s="33"/>
    </row>
    <row r="22" spans="1:18">
      <c r="A22" s="3">
        <v>20</v>
      </c>
      <c r="B22" s="3">
        <f t="shared" si="3"/>
        <v>1.8000000000000009</v>
      </c>
      <c r="C22" s="4">
        <f t="shared" si="4"/>
        <v>0.40229473381861414</v>
      </c>
      <c r="D22" s="3">
        <v>0</v>
      </c>
      <c r="E22" s="5">
        <v>0.33333333333333331</v>
      </c>
      <c r="F22" s="3">
        <f t="shared" si="1"/>
        <v>0</v>
      </c>
      <c r="G22" s="19">
        <f t="shared" si="2"/>
        <v>0.60000000000000031</v>
      </c>
      <c r="H22" s="20"/>
      <c r="I22" s="21"/>
      <c r="Q22" s="32"/>
      <c r="R22" s="33"/>
    </row>
    <row r="23" spans="1:18">
      <c r="A23" s="6"/>
      <c r="B23" s="6"/>
      <c r="C23" s="6"/>
      <c r="D23" s="6"/>
      <c r="E23" s="6"/>
      <c r="F23" s="28">
        <f>SUM(F2:F22)</f>
        <v>25.500000000000007</v>
      </c>
      <c r="G23" s="19">
        <f>SUM(G2:G22)</f>
        <v>26.000000000000007</v>
      </c>
    </row>
    <row r="25" spans="1:18">
      <c r="F25" s="29" t="s">
        <v>35</v>
      </c>
      <c r="G25" s="29" t="s">
        <v>36</v>
      </c>
    </row>
    <row r="26" spans="1:18">
      <c r="F26" s="3">
        <f>F23*$Q$1</f>
        <v>1.2750000000000004</v>
      </c>
      <c r="G26" s="3">
        <f>G23*$Q$1</f>
        <v>1.3000000000000005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10</vt:lpstr>
      <vt:lpstr>20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0307</dc:creator>
  <cp:lastModifiedBy>0307</cp:lastModifiedBy>
  <dcterms:created xsi:type="dcterms:W3CDTF">2025-11-20T05:38:39Z</dcterms:created>
  <dcterms:modified xsi:type="dcterms:W3CDTF">2025-11-20T07:10:59Z</dcterms:modified>
</cp:coreProperties>
</file>