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B15" i="3"/>
  <c r="F15" s="1"/>
  <c r="B14"/>
  <c r="F14" s="1"/>
  <c r="B13"/>
  <c r="F13" s="1"/>
  <c r="A13"/>
  <c r="E13" s="1"/>
  <c r="D10"/>
  <c r="D9"/>
  <c r="C9"/>
  <c r="E9" s="1"/>
  <c r="D8"/>
  <c r="C8"/>
  <c r="E8" s="1"/>
  <c r="D16" i="2"/>
  <c r="D15"/>
  <c r="C15"/>
  <c r="A15"/>
  <c r="D11"/>
  <c r="C11"/>
  <c r="E11" s="1"/>
  <c r="D10"/>
  <c r="C10"/>
  <c r="E10" s="1"/>
  <c r="G15" i="1"/>
  <c r="G14"/>
  <c r="G13"/>
  <c r="F13"/>
  <c r="F14"/>
  <c r="F15"/>
  <c r="E14"/>
  <c r="C14" s="1"/>
  <c r="D13"/>
  <c r="A13"/>
  <c r="A14"/>
  <c r="E13"/>
  <c r="C8"/>
  <c r="B15"/>
  <c r="B14"/>
  <c r="B13"/>
  <c r="D10"/>
  <c r="D9"/>
  <c r="C9"/>
  <c r="E9" s="1"/>
  <c r="D8"/>
  <c r="E8"/>
  <c r="C13" i="3" l="1"/>
  <c r="B15" i="2"/>
  <c r="A16" s="1"/>
  <c r="A15" i="1"/>
  <c r="D14"/>
  <c r="C13"/>
  <c r="A14" i="3" l="1"/>
  <c r="D13"/>
  <c r="G13" s="1"/>
  <c r="C16" i="2"/>
  <c r="E15"/>
  <c r="F15" s="1"/>
  <c r="C15" i="1"/>
  <c r="E15"/>
  <c r="E14" i="3" l="1"/>
  <c r="C14" s="1"/>
  <c r="B16" i="2"/>
  <c r="A17" s="1"/>
  <c r="D17" s="1"/>
  <c r="D15" i="1"/>
  <c r="A15" i="3" l="1"/>
  <c r="D14"/>
  <c r="G14" s="1"/>
  <c r="C17" i="2"/>
  <c r="E16"/>
  <c r="F16" s="1"/>
  <c r="E15" i="3" l="1"/>
  <c r="C15" s="1"/>
  <c r="D15" s="1"/>
  <c r="G15" s="1"/>
  <c r="B17" i="2"/>
  <c r="A18" s="1"/>
  <c r="D18" s="1"/>
  <c r="C18" l="1"/>
  <c r="E17"/>
  <c r="F17" s="1"/>
  <c r="B18" l="1"/>
  <c r="E18" s="1"/>
  <c r="F18" s="1"/>
  <c r="A19" l="1"/>
  <c r="D19" s="1"/>
  <c r="C19" l="1"/>
  <c r="B19" l="1"/>
  <c r="E19" s="1"/>
  <c r="F19" s="1"/>
</calcChain>
</file>

<file path=xl/sharedStrings.xml><?xml version="1.0" encoding="utf-8"?>
<sst xmlns="http://schemas.openxmlformats.org/spreadsheetml/2006/main" count="71" uniqueCount="32">
  <si>
    <t>f(x)=x^3+x-1</t>
  </si>
  <si>
    <t>точность</t>
  </si>
  <si>
    <t>E=</t>
  </si>
  <si>
    <t>f1(x)=3x^2+1</t>
  </si>
  <si>
    <t>f2(x)=6x</t>
  </si>
  <si>
    <t>Проверка на сходимость</t>
  </si>
  <si>
    <t>Граница</t>
  </si>
  <si>
    <t>Значение</t>
  </si>
  <si>
    <t>f(x)</t>
  </si>
  <si>
    <t>f2(x)</t>
  </si>
  <si>
    <t>Условие</t>
  </si>
  <si>
    <t>a</t>
  </si>
  <si>
    <t>b</t>
  </si>
  <si>
    <t>x0=c=a=</t>
  </si>
  <si>
    <t>d=b=</t>
  </si>
  <si>
    <t>неподвижный конец отр</t>
  </si>
  <si>
    <t>итерации</t>
  </si>
  <si>
    <t>c</t>
  </si>
  <si>
    <t>d</t>
  </si>
  <si>
    <t>z</t>
  </si>
  <si>
    <t>R</t>
  </si>
  <si>
    <t>f( c)</t>
  </si>
  <si>
    <t>f(d)</t>
  </si>
  <si>
    <t>условие</t>
  </si>
  <si>
    <t>k</t>
  </si>
  <si>
    <t>Действия по методу</t>
  </si>
  <si>
    <t>xn</t>
  </si>
  <si>
    <t>xn+1</t>
  </si>
  <si>
    <t>f(xn)</t>
  </si>
  <si>
    <t>f'(xn)</t>
  </si>
  <si>
    <t>Корень</t>
  </si>
  <si>
    <t>Число итераций</t>
  </si>
</sst>
</file>

<file path=xl/styles.xml><?xml version="1.0" encoding="utf-8"?>
<styleSheet xmlns="http://schemas.openxmlformats.org/spreadsheetml/2006/main">
  <numFmts count="1">
    <numFmt numFmtId="166" formatCode="0.0000"/>
  </numFmts>
  <fonts count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/>
    <xf numFmtId="0" fontId="0" fillId="2" borderId="1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18"/>
  <sheetViews>
    <sheetView zoomScale="130" zoomScaleNormal="130" workbookViewId="0">
      <selection sqref="A1:H15"/>
    </sheetView>
  </sheetViews>
  <sheetFormatPr defaultRowHeight="15"/>
  <cols>
    <col min="7" max="7" width="14.5703125" customWidth="1"/>
  </cols>
  <sheetData>
    <row r="2" spans="1:8">
      <c r="A2" t="s">
        <v>0</v>
      </c>
      <c r="D2" s="1" t="s">
        <v>1</v>
      </c>
      <c r="E2" s="2" t="s">
        <v>2</v>
      </c>
      <c r="F2" s="3">
        <v>1E-3</v>
      </c>
    </row>
    <row r="3" spans="1:8">
      <c r="A3" t="s">
        <v>3</v>
      </c>
    </row>
    <row r="4" spans="1:8">
      <c r="A4" t="s">
        <v>4</v>
      </c>
    </row>
    <row r="6" spans="1:8">
      <c r="A6" s="4" t="s">
        <v>5</v>
      </c>
      <c r="B6" s="4"/>
      <c r="C6" s="4"/>
    </row>
    <row r="7" spans="1:8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spans="1:8">
      <c r="A8" s="5" t="s">
        <v>11</v>
      </c>
      <c r="B8" s="5">
        <v>0.1</v>
      </c>
      <c r="C8" s="5">
        <f>B8^3+B8-1</f>
        <v>-0.89900000000000002</v>
      </c>
      <c r="D8" s="5">
        <f>6*B8</f>
        <v>0.60000000000000009</v>
      </c>
      <c r="E8" s="5" t="str">
        <f>IF(C8*D8&gt;0,"вып","---")</f>
        <v>---</v>
      </c>
    </row>
    <row r="9" spans="1:8">
      <c r="A9" s="5" t="s">
        <v>12</v>
      </c>
      <c r="B9" s="5">
        <v>1</v>
      </c>
      <c r="C9" s="5">
        <f>B9^3+B9-1</f>
        <v>1</v>
      </c>
      <c r="D9" s="5">
        <f>6*B9</f>
        <v>6</v>
      </c>
      <c r="E9" s="5" t="str">
        <f>IF(C9*D9&gt;0,"вып","---")</f>
        <v>вып</v>
      </c>
    </row>
    <row r="10" spans="1:8">
      <c r="C10" s="2" t="s">
        <v>13</v>
      </c>
      <c r="D10" s="3">
        <f>B8</f>
        <v>0.1</v>
      </c>
      <c r="E10" s="2" t="s">
        <v>14</v>
      </c>
      <c r="F10" s="3">
        <v>1</v>
      </c>
      <c r="G10" t="s">
        <v>15</v>
      </c>
    </row>
    <row r="11" spans="1:8">
      <c r="A11" s="4" t="s">
        <v>16</v>
      </c>
    </row>
    <row r="12" spans="1:8">
      <c r="A12" s="6" t="s">
        <v>17</v>
      </c>
      <c r="B12" s="6" t="s">
        <v>18</v>
      </c>
      <c r="C12" s="6" t="s">
        <v>19</v>
      </c>
      <c r="D12" s="6" t="s">
        <v>20</v>
      </c>
      <c r="E12" s="6" t="s">
        <v>21</v>
      </c>
      <c r="F12" s="6" t="s">
        <v>22</v>
      </c>
      <c r="G12" s="6" t="s">
        <v>23</v>
      </c>
      <c r="H12" s="6" t="s">
        <v>24</v>
      </c>
    </row>
    <row r="13" spans="1:8">
      <c r="A13" s="7">
        <f>B8</f>
        <v>0.1</v>
      </c>
      <c r="B13" s="7">
        <f>$B$9</f>
        <v>1</v>
      </c>
      <c r="C13" s="7">
        <f>A13-(E13*(B13-A13)/(F13-E13))</f>
        <v>0.90817263544536275</v>
      </c>
      <c r="D13" s="7">
        <f>ABS(C13-A13)</f>
        <v>0.80817263544536277</v>
      </c>
      <c r="E13" s="7">
        <f>A13^3-12*A13+10</f>
        <v>8.8010000000000002</v>
      </c>
      <c r="F13" s="7">
        <f>B13^3-12*B13+10</f>
        <v>-1</v>
      </c>
      <c r="G13" s="5" t="str">
        <f>IF(D13&lt;=$F$2,"Выполненно","---")</f>
        <v>---</v>
      </c>
      <c r="H13" s="5">
        <v>0</v>
      </c>
    </row>
    <row r="14" spans="1:8">
      <c r="A14" s="7">
        <f>C13</f>
        <v>0.90817263544536275</v>
      </c>
      <c r="B14" s="7">
        <f t="shared" ref="B14:B22" si="0">$B$9</f>
        <v>1</v>
      </c>
      <c r="C14" s="7">
        <f t="shared" ref="C14:C18" si="1">A14-(E14*(B14-A14)/(F14-E14))</f>
        <v>0.89209079281153036</v>
      </c>
      <c r="D14" s="7">
        <f t="shared" ref="D14:D18" si="2">ABS(C14-A14)</f>
        <v>1.6081842633832388E-2</v>
      </c>
      <c r="E14" s="7">
        <f t="shared" ref="E14:E18" si="3">A14^3-12*A14+10</f>
        <v>-0.14903123702636911</v>
      </c>
      <c r="F14" s="7">
        <f t="shared" ref="F14:F18" si="4">B14^3-12*B14+10</f>
        <v>-1</v>
      </c>
      <c r="G14" s="5" t="str">
        <f t="shared" ref="G14:G18" si="5">IF(D14&lt;=$F$2,"Выполненно","---")</f>
        <v>---</v>
      </c>
      <c r="H14" s="5">
        <v>1</v>
      </c>
    </row>
    <row r="15" spans="1:8">
      <c r="A15" s="7">
        <f t="shared" ref="A15:A18" si="6">C14</f>
        <v>0.89209079281153036</v>
      </c>
      <c r="B15" s="7">
        <f t="shared" si="0"/>
        <v>1</v>
      </c>
      <c r="C15" s="8">
        <f t="shared" si="1"/>
        <v>0.89261264360679671</v>
      </c>
      <c r="D15" s="7">
        <f t="shared" si="2"/>
        <v>5.2185079526634315E-4</v>
      </c>
      <c r="E15" s="7">
        <f t="shared" si="3"/>
        <v>4.8595180363282253E-3</v>
      </c>
      <c r="F15" s="7">
        <f t="shared" si="4"/>
        <v>-1</v>
      </c>
      <c r="G15" s="5" t="str">
        <f>IF(D15&lt;=$F$2,"Выполненно","---")</f>
        <v>Выполненно</v>
      </c>
      <c r="H15" s="5">
        <v>2</v>
      </c>
    </row>
    <row r="16" spans="1:8">
      <c r="A16" s="9"/>
      <c r="B16" s="9"/>
      <c r="C16" s="9"/>
      <c r="D16" s="9"/>
      <c r="E16" s="9"/>
      <c r="F16" s="9"/>
      <c r="G16" s="10"/>
      <c r="H16" s="10"/>
    </row>
    <row r="17" spans="1:8">
      <c r="A17" s="9"/>
      <c r="B17" s="9"/>
      <c r="C17" s="9"/>
      <c r="D17" s="9"/>
      <c r="E17" s="9"/>
      <c r="F17" s="9"/>
      <c r="G17" s="10"/>
      <c r="H17" s="10"/>
    </row>
    <row r="18" spans="1:8">
      <c r="A18" s="9"/>
      <c r="B18" s="9"/>
      <c r="C18" s="9"/>
      <c r="D18" s="9"/>
      <c r="E18" s="9"/>
      <c r="F18" s="9"/>
      <c r="G18" s="10"/>
      <c r="H18" s="10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G25"/>
  <sheetViews>
    <sheetView tabSelected="1" topLeftCell="A2" zoomScale="145" zoomScaleNormal="145" workbookViewId="0">
      <selection activeCell="D15" sqref="D15"/>
    </sheetView>
  </sheetViews>
  <sheetFormatPr defaultRowHeight="15"/>
  <cols>
    <col min="6" max="6" width="19.5703125" customWidth="1"/>
  </cols>
  <sheetData>
    <row r="2" spans="1:7">
      <c r="A2" t="s">
        <v>0</v>
      </c>
    </row>
    <row r="3" spans="1:7">
      <c r="A3" t="s">
        <v>3</v>
      </c>
    </row>
    <row r="4" spans="1:7">
      <c r="A4" t="s">
        <v>4</v>
      </c>
    </row>
    <row r="6" spans="1:7">
      <c r="A6" s="1" t="s">
        <v>1</v>
      </c>
      <c r="B6" s="2" t="s">
        <v>2</v>
      </c>
      <c r="C6" s="3">
        <v>1E-3</v>
      </c>
    </row>
    <row r="8" spans="1:7">
      <c r="A8" s="4" t="s">
        <v>5</v>
      </c>
    </row>
    <row r="9" spans="1:7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</row>
    <row r="10" spans="1:7">
      <c r="A10" s="5" t="s">
        <v>11</v>
      </c>
      <c r="B10" s="5">
        <v>0.1</v>
      </c>
      <c r="C10" s="5">
        <f>B10^3+B10-1</f>
        <v>-0.89900000000000002</v>
      </c>
      <c r="D10" s="5">
        <f>6*B10</f>
        <v>0.60000000000000009</v>
      </c>
      <c r="E10" s="5" t="str">
        <f>IF(C10*D10&gt;0,"вып","---")</f>
        <v>---</v>
      </c>
    </row>
    <row r="11" spans="1:7">
      <c r="A11" s="5" t="s">
        <v>12</v>
      </c>
      <c r="B11" s="5">
        <v>1</v>
      </c>
      <c r="C11" s="5">
        <f>B11^3+B11-1</f>
        <v>1</v>
      </c>
      <c r="D11" s="5">
        <f>6*B11</f>
        <v>6</v>
      </c>
      <c r="E11" s="5" t="str">
        <f>IF(C11*D11&gt;0,"вып","---")</f>
        <v>вып</v>
      </c>
    </row>
    <row r="13" spans="1:7">
      <c r="A13" s="11" t="s">
        <v>25</v>
      </c>
    </row>
    <row r="14" spans="1:7" ht="45">
      <c r="A14" s="12" t="s">
        <v>26</v>
      </c>
      <c r="B14" s="12" t="s">
        <v>27</v>
      </c>
      <c r="C14" s="12" t="s">
        <v>28</v>
      </c>
      <c r="D14" s="12" t="s">
        <v>29</v>
      </c>
      <c r="E14" s="12" t="s">
        <v>20</v>
      </c>
      <c r="F14" s="12" t="s">
        <v>30</v>
      </c>
      <c r="G14" s="12" t="s">
        <v>31</v>
      </c>
    </row>
    <row r="15" spans="1:7">
      <c r="A15" s="7">
        <f>B11</f>
        <v>1</v>
      </c>
      <c r="B15" s="7">
        <f>A15-(C15/D15)</f>
        <v>0</v>
      </c>
      <c r="C15" s="7">
        <f>3*A15-EXP(A15)</f>
        <v>0.28171817154095491</v>
      </c>
      <c r="D15" s="7">
        <f>3-A15*EXP(A15)</f>
        <v>0.28171817154095491</v>
      </c>
      <c r="E15" s="7">
        <f>ABS(B15-A15)</f>
        <v>1</v>
      </c>
      <c r="F15" s="5" t="str">
        <f>IF(E15&lt;$C$6,"Корень="&amp;ROUND(B15,4),"---")</f>
        <v>---</v>
      </c>
      <c r="G15" s="5">
        <v>1</v>
      </c>
    </row>
    <row r="16" spans="1:7">
      <c r="A16" s="7">
        <f>B15</f>
        <v>0</v>
      </c>
      <c r="B16" s="7">
        <f t="shared" ref="B16:B25" si="0">A16-(C16/D16)</f>
        <v>0.5</v>
      </c>
      <c r="C16" s="7">
        <f t="shared" ref="C16:C20" si="1">3*A16-EXP(A16)</f>
        <v>-1</v>
      </c>
      <c r="D16" s="7">
        <f t="shared" ref="D16:D19" si="2">3-EXP(A16)</f>
        <v>2</v>
      </c>
      <c r="E16" s="7">
        <f t="shared" ref="E16:E25" si="3">ABS(B16-A16)</f>
        <v>0.5</v>
      </c>
      <c r="F16" s="5" t="str">
        <f t="shared" ref="F16:F25" si="4">IF(E16&lt;$C$6,"Корень="&amp;ROUND(B16,4),"---")</f>
        <v>---</v>
      </c>
      <c r="G16" s="5">
        <v>2</v>
      </c>
    </row>
    <row r="17" spans="1:7">
      <c r="A17" s="7">
        <f t="shared" ref="A17:A31" si="5">B16</f>
        <v>0.5</v>
      </c>
      <c r="B17" s="7">
        <f t="shared" si="0"/>
        <v>0.61005965495896175</v>
      </c>
      <c r="C17" s="7">
        <f t="shared" si="1"/>
        <v>-0.14872127070012819</v>
      </c>
      <c r="D17" s="7">
        <f t="shared" si="2"/>
        <v>1.3512787292998718</v>
      </c>
      <c r="E17" s="7">
        <f t="shared" si="3"/>
        <v>0.11005965495896175</v>
      </c>
      <c r="F17" s="5" t="str">
        <f t="shared" si="4"/>
        <v>---</v>
      </c>
      <c r="G17" s="5">
        <v>3</v>
      </c>
    </row>
    <row r="18" spans="1:7">
      <c r="A18" s="7">
        <f t="shared" si="5"/>
        <v>0.61005965495896175</v>
      </c>
      <c r="B18" s="7">
        <f t="shared" si="0"/>
        <v>0.61899677974153966</v>
      </c>
      <c r="C18" s="7">
        <f t="shared" si="1"/>
        <v>-1.0362228039168198E-2</v>
      </c>
      <c r="D18" s="7">
        <f t="shared" si="2"/>
        <v>1.1594588070839467</v>
      </c>
      <c r="E18" s="7">
        <f t="shared" si="3"/>
        <v>8.9371247825779099E-3</v>
      </c>
      <c r="F18" s="14" t="str">
        <f t="shared" si="4"/>
        <v>---</v>
      </c>
      <c r="G18" s="5">
        <v>4</v>
      </c>
    </row>
    <row r="19" spans="1:7">
      <c r="A19" s="7">
        <f t="shared" si="5"/>
        <v>0.61899677974153966</v>
      </c>
      <c r="B19" s="7">
        <f t="shared" si="0"/>
        <v>0.61906128335531274</v>
      </c>
      <c r="C19" s="7">
        <f t="shared" si="1"/>
        <v>-7.3723498265509946E-5</v>
      </c>
      <c r="D19" s="7">
        <f t="shared" si="2"/>
        <v>1.1429359372771155</v>
      </c>
      <c r="E19" s="7">
        <f t="shared" si="3"/>
        <v>6.4503613773081447E-5</v>
      </c>
      <c r="F19" s="14" t="str">
        <f t="shared" si="4"/>
        <v>Корень=0,6191</v>
      </c>
      <c r="G19" s="5">
        <v>5</v>
      </c>
    </row>
    <row r="20" spans="1:7">
      <c r="A20" s="9"/>
      <c r="B20" s="9"/>
      <c r="C20" s="9"/>
      <c r="D20" s="9"/>
      <c r="E20" s="9"/>
      <c r="F20" s="13"/>
      <c r="G20" s="10"/>
    </row>
    <row r="21" spans="1:7">
      <c r="A21" s="9"/>
      <c r="B21" s="9"/>
      <c r="C21" s="9"/>
      <c r="D21" s="9"/>
      <c r="E21" s="9"/>
      <c r="F21" s="13"/>
      <c r="G21" s="10"/>
    </row>
    <row r="22" spans="1:7">
      <c r="A22" s="9"/>
      <c r="B22" s="9"/>
      <c r="C22" s="9"/>
      <c r="D22" s="9"/>
      <c r="E22" s="9"/>
      <c r="F22" s="13"/>
      <c r="G22" s="10"/>
    </row>
    <row r="23" spans="1:7">
      <c r="A23" s="9"/>
      <c r="B23" s="9"/>
      <c r="C23" s="9"/>
      <c r="D23" s="9"/>
      <c r="E23" s="9"/>
      <c r="F23" s="13"/>
      <c r="G23" s="10"/>
    </row>
    <row r="24" spans="1:7">
      <c r="A24" s="9"/>
      <c r="B24" s="9"/>
      <c r="C24" s="9"/>
      <c r="D24" s="9"/>
      <c r="E24" s="9"/>
      <c r="F24" s="13"/>
      <c r="G24" s="10"/>
    </row>
    <row r="25" spans="1:7">
      <c r="A25" s="9"/>
      <c r="B25" s="9"/>
      <c r="C25" s="9"/>
      <c r="D25" s="9"/>
      <c r="E25" s="9"/>
      <c r="F25" s="13"/>
      <c r="G25" s="10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H15"/>
  <sheetViews>
    <sheetView workbookViewId="0">
      <selection activeCell="I1" sqref="I1"/>
    </sheetView>
  </sheetViews>
  <sheetFormatPr defaultRowHeight="15"/>
  <sheetData>
    <row r="2" spans="1:8">
      <c r="A2" t="s">
        <v>0</v>
      </c>
      <c r="D2" s="1" t="s">
        <v>1</v>
      </c>
      <c r="E2" s="2" t="s">
        <v>2</v>
      </c>
      <c r="F2" s="3">
        <v>1E-3</v>
      </c>
    </row>
    <row r="3" spans="1:8">
      <c r="A3" t="s">
        <v>3</v>
      </c>
    </row>
    <row r="4" spans="1:8">
      <c r="A4" t="s">
        <v>4</v>
      </c>
    </row>
    <row r="6" spans="1:8">
      <c r="A6" s="4" t="s">
        <v>5</v>
      </c>
      <c r="B6" s="4"/>
      <c r="C6" s="4"/>
    </row>
    <row r="7" spans="1:8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</row>
    <row r="8" spans="1:8">
      <c r="A8" s="5" t="s">
        <v>11</v>
      </c>
      <c r="B8" s="5">
        <v>0.1</v>
      </c>
      <c r="C8" s="5">
        <f>B8^3+B8-1</f>
        <v>-0.89900000000000002</v>
      </c>
      <c r="D8" s="5">
        <f>6*B8</f>
        <v>0.60000000000000009</v>
      </c>
      <c r="E8" s="5" t="str">
        <f>IF(C8*D8&gt;0,"вып","---")</f>
        <v>---</v>
      </c>
    </row>
    <row r="9" spans="1:8">
      <c r="A9" s="5" t="s">
        <v>12</v>
      </c>
      <c r="B9" s="5">
        <v>1</v>
      </c>
      <c r="C9" s="5">
        <f>B9^3+B9-1</f>
        <v>1</v>
      </c>
      <c r="D9" s="5">
        <f>6*B9</f>
        <v>6</v>
      </c>
      <c r="E9" s="5" t="str">
        <f>IF(C9*D9&gt;0,"вып","---")</f>
        <v>вып</v>
      </c>
    </row>
    <row r="10" spans="1:8">
      <c r="C10" s="2" t="s">
        <v>13</v>
      </c>
      <c r="D10" s="3">
        <f>B8</f>
        <v>0.1</v>
      </c>
      <c r="E10" s="2" t="s">
        <v>14</v>
      </c>
      <c r="F10" s="3">
        <v>1</v>
      </c>
      <c r="G10" t="s">
        <v>15</v>
      </c>
    </row>
    <row r="11" spans="1:8">
      <c r="A11" s="4" t="s">
        <v>16</v>
      </c>
    </row>
    <row r="12" spans="1:8">
      <c r="A12" s="6" t="s">
        <v>17</v>
      </c>
      <c r="B12" s="6" t="s">
        <v>18</v>
      </c>
      <c r="C12" s="6" t="s">
        <v>19</v>
      </c>
      <c r="D12" s="6" t="s">
        <v>20</v>
      </c>
      <c r="E12" s="6" t="s">
        <v>21</v>
      </c>
      <c r="F12" s="6" t="s">
        <v>22</v>
      </c>
      <c r="G12" s="6" t="s">
        <v>23</v>
      </c>
      <c r="H12" s="6" t="s">
        <v>24</v>
      </c>
    </row>
    <row r="13" spans="1:8">
      <c r="A13" s="7">
        <f>B8</f>
        <v>0.1</v>
      </c>
      <c r="B13" s="7">
        <f>$B$9</f>
        <v>1</v>
      </c>
      <c r="C13" s="7">
        <f>A13-(E13*(B13-A13)/(F13-E13))</f>
        <v>0.90817263544536275</v>
      </c>
      <c r="D13" s="7">
        <f>ABS(C13-A13)</f>
        <v>0.80817263544536277</v>
      </c>
      <c r="E13" s="7">
        <f>A13^3-12*A13+10</f>
        <v>8.8010000000000002</v>
      </c>
      <c r="F13" s="7">
        <f>B13^3-12*B13+10</f>
        <v>-1</v>
      </c>
      <c r="G13" s="5" t="str">
        <f>IF(D13&lt;=$F$2,"Выполненно","---")</f>
        <v>---</v>
      </c>
      <c r="H13" s="5">
        <v>0</v>
      </c>
    </row>
    <row r="14" spans="1:8">
      <c r="A14" s="7">
        <f>C13</f>
        <v>0.90817263544536275</v>
      </c>
      <c r="B14" s="7">
        <f t="shared" ref="B14:B15" si="0">$B$9</f>
        <v>1</v>
      </c>
      <c r="C14" s="7">
        <f t="shared" ref="C14:C15" si="1">A14-(E14*(B14-A14)/(F14-E14))</f>
        <v>0.89209079281153036</v>
      </c>
      <c r="D14" s="7">
        <f t="shared" ref="D14:D15" si="2">ABS(C14-A14)</f>
        <v>1.6081842633832388E-2</v>
      </c>
      <c r="E14" s="7">
        <f t="shared" ref="E14:F15" si="3">A14^3-12*A14+10</f>
        <v>-0.14903123702636911</v>
      </c>
      <c r="F14" s="7">
        <f t="shared" si="3"/>
        <v>-1</v>
      </c>
      <c r="G14" s="5" t="str">
        <f t="shared" ref="G14" si="4">IF(D14&lt;=$F$2,"Выполненно","---")</f>
        <v>---</v>
      </c>
      <c r="H14" s="5">
        <v>1</v>
      </c>
    </row>
    <row r="15" spans="1:8">
      <c r="A15" s="7">
        <f t="shared" ref="A15" si="5">C14</f>
        <v>0.89209079281153036</v>
      </c>
      <c r="B15" s="7">
        <f t="shared" si="0"/>
        <v>1</v>
      </c>
      <c r="C15" s="8">
        <f t="shared" si="1"/>
        <v>0.89261264360679671</v>
      </c>
      <c r="D15" s="7">
        <f t="shared" si="2"/>
        <v>5.2185079526634315E-4</v>
      </c>
      <c r="E15" s="7">
        <f t="shared" si="3"/>
        <v>4.8595180363282253E-3</v>
      </c>
      <c r="F15" s="7">
        <f t="shared" si="3"/>
        <v>-1</v>
      </c>
      <c r="G15" s="5" t="str">
        <f>IF(D15&lt;=$F$2,"Выполненно","---")</f>
        <v>Выполненно</v>
      </c>
      <c r="H15" s="5">
        <v>2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2025-10-14T07:11:17Z</dcterms:modified>
</cp:coreProperties>
</file>